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50" windowWidth="18880" windowHeight="8740" activeTab="1"/>
  </bookViews>
  <sheets>
    <sheet name="Raw Data" sheetId="1" r:id="rId1"/>
    <sheet name="Engagement Classification" sheetId="2" r:id="rId2"/>
    <sheet name="Product Utilization" sheetId="3" r:id="rId3"/>
    <sheet name="KPI Dashboard" sheetId="4" r:id="rId4"/>
    <sheet name="Sheet1" sheetId="5" r:id="rId5"/>
  </sheets>
  <definedNames>
    <definedName name="_xlnm._FilterDatabase" localSheetId="1" hidden="1">'Engagement Classification'!$A$1:$F$51</definedName>
    <definedName name="_xlnm._FilterDatabase" localSheetId="2" hidden="1">'Product Utilization'!$A$1:$H$51</definedName>
    <definedName name="_xlnm._FilterDatabase" localSheetId="0" hidden="1">'Raw Data'!$A$1:$F$51</definedName>
  </definedNames>
  <calcPr calcId="145621" forceFullCalc="1"/>
</workbook>
</file>

<file path=xl/calcChain.xml><?xml version="1.0" encoding="utf-8"?>
<calcChain xmlns="http://schemas.openxmlformats.org/spreadsheetml/2006/main">
  <c r="D12" i="4" l="1"/>
  <c r="D16" i="4" l="1"/>
  <c r="D11" i="4"/>
  <c r="D10" i="4"/>
  <c r="D9" i="4"/>
  <c r="G51" i="3"/>
  <c r="H51" i="3" s="1"/>
  <c r="A51" i="3"/>
  <c r="G50" i="3"/>
  <c r="H50" i="3" s="1"/>
  <c r="A50" i="3"/>
  <c r="G49" i="3"/>
  <c r="H49" i="3" s="1"/>
  <c r="A49" i="3"/>
  <c r="G48" i="3"/>
  <c r="H48" i="3" s="1"/>
  <c r="A48" i="3"/>
  <c r="G47" i="3"/>
  <c r="H47" i="3" s="1"/>
  <c r="A47" i="3"/>
  <c r="G46" i="3"/>
  <c r="H46" i="3" s="1"/>
  <c r="A46" i="3"/>
  <c r="G45" i="3"/>
  <c r="H45" i="3" s="1"/>
  <c r="A45" i="3"/>
  <c r="G44" i="3"/>
  <c r="H44" i="3" s="1"/>
  <c r="A44" i="3"/>
  <c r="G43" i="3"/>
  <c r="H43" i="3" s="1"/>
  <c r="A43" i="3"/>
  <c r="G42" i="3"/>
  <c r="H42" i="3" s="1"/>
  <c r="A42" i="3"/>
  <c r="G41" i="3"/>
  <c r="H41" i="3" s="1"/>
  <c r="A41" i="3"/>
  <c r="G40" i="3"/>
  <c r="H40" i="3" s="1"/>
  <c r="A40" i="3"/>
  <c r="G39" i="3"/>
  <c r="H39" i="3" s="1"/>
  <c r="A39" i="3"/>
  <c r="G38" i="3"/>
  <c r="H38" i="3" s="1"/>
  <c r="A38" i="3"/>
  <c r="G37" i="3"/>
  <c r="H37" i="3" s="1"/>
  <c r="A37" i="3"/>
  <c r="G36" i="3"/>
  <c r="H36" i="3" s="1"/>
  <c r="A36" i="3"/>
  <c r="G35" i="3"/>
  <c r="H35" i="3" s="1"/>
  <c r="A35" i="3"/>
  <c r="G34" i="3"/>
  <c r="H34" i="3" s="1"/>
  <c r="A34" i="3"/>
  <c r="G33" i="3"/>
  <c r="H33" i="3" s="1"/>
  <c r="A33" i="3"/>
  <c r="G32" i="3"/>
  <c r="H32" i="3" s="1"/>
  <c r="A32" i="3"/>
  <c r="G31" i="3"/>
  <c r="H31" i="3" s="1"/>
  <c r="A31" i="3"/>
  <c r="G30" i="3"/>
  <c r="H30" i="3" s="1"/>
  <c r="A30" i="3"/>
  <c r="G29" i="3"/>
  <c r="H29" i="3" s="1"/>
  <c r="A29" i="3"/>
  <c r="G28" i="3"/>
  <c r="H28" i="3" s="1"/>
  <c r="A28" i="3"/>
  <c r="G27" i="3"/>
  <c r="H27" i="3" s="1"/>
  <c r="A27" i="3"/>
  <c r="G26" i="3"/>
  <c r="H26" i="3" s="1"/>
  <c r="A26" i="3"/>
  <c r="G25" i="3"/>
  <c r="H25" i="3" s="1"/>
  <c r="A25" i="3"/>
  <c r="G24" i="3"/>
  <c r="H24" i="3" s="1"/>
  <c r="A24" i="3"/>
  <c r="G23" i="3"/>
  <c r="H23" i="3" s="1"/>
  <c r="A23" i="3"/>
  <c r="G22" i="3"/>
  <c r="H22" i="3" s="1"/>
  <c r="A22" i="3"/>
  <c r="G21" i="3"/>
  <c r="H21" i="3" s="1"/>
  <c r="A21" i="3"/>
  <c r="G20" i="3"/>
  <c r="H20" i="3" s="1"/>
  <c r="A20" i="3"/>
  <c r="G19" i="3"/>
  <c r="H19" i="3" s="1"/>
  <c r="A19" i="3"/>
  <c r="G18" i="3"/>
  <c r="H18" i="3" s="1"/>
  <c r="A18" i="3"/>
  <c r="G17" i="3"/>
  <c r="H17" i="3" s="1"/>
  <c r="A17" i="3"/>
  <c r="G16" i="3"/>
  <c r="H16" i="3" s="1"/>
  <c r="A16" i="3"/>
  <c r="G15" i="3"/>
  <c r="H15" i="3" s="1"/>
  <c r="A15" i="3"/>
  <c r="G14" i="3"/>
  <c r="H14" i="3" s="1"/>
  <c r="A14" i="3"/>
  <c r="G13" i="3"/>
  <c r="H13" i="3" s="1"/>
  <c r="A13" i="3"/>
  <c r="G12" i="3"/>
  <c r="H12" i="3" s="1"/>
  <c r="A12" i="3"/>
  <c r="G11" i="3"/>
  <c r="H11" i="3" s="1"/>
  <c r="A11" i="3"/>
  <c r="G10" i="3"/>
  <c r="H10" i="3" s="1"/>
  <c r="A10" i="3"/>
  <c r="G9" i="3"/>
  <c r="H9" i="3" s="1"/>
  <c r="A9" i="3"/>
  <c r="G8" i="3"/>
  <c r="H8" i="3" s="1"/>
  <c r="A8" i="3"/>
  <c r="G7" i="3"/>
  <c r="H7" i="3" s="1"/>
  <c r="A7" i="3"/>
  <c r="G6" i="3"/>
  <c r="H6" i="3" s="1"/>
  <c r="A6" i="3"/>
  <c r="G5" i="3"/>
  <c r="H5" i="3" s="1"/>
  <c r="A5" i="3"/>
  <c r="G4" i="3"/>
  <c r="H4" i="3" s="1"/>
  <c r="A4" i="3"/>
  <c r="G3" i="3"/>
  <c r="H3" i="3" s="1"/>
  <c r="A3" i="3"/>
  <c r="G2" i="3"/>
  <c r="H2" i="3" s="1"/>
  <c r="A2" i="3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E33" i="2" l="1"/>
  <c r="F33" i="2" s="1"/>
  <c r="E44" i="2"/>
  <c r="F44" i="2" s="1"/>
  <c r="E49" i="2"/>
  <c r="F49" i="2" s="1"/>
  <c r="E21" i="2"/>
  <c r="F21" i="2" s="1"/>
  <c r="E23" i="2"/>
  <c r="F23" i="2" s="1"/>
  <c r="E12" i="2"/>
  <c r="F12" i="2" s="1"/>
  <c r="E17" i="2"/>
  <c r="F17" i="2" s="1"/>
  <c r="E28" i="2"/>
  <c r="F28" i="2" s="1"/>
  <c r="E41" i="2"/>
  <c r="F41" i="2" s="1"/>
  <c r="E51" i="2"/>
  <c r="F51" i="2" s="1"/>
  <c r="E9" i="2"/>
  <c r="F9" i="2" s="1"/>
  <c r="E19" i="2"/>
  <c r="F19" i="2" s="1"/>
  <c r="E25" i="2"/>
  <c r="F25" i="2" s="1"/>
  <c r="E20" i="2"/>
  <c r="F20" i="2" s="1"/>
  <c r="E27" i="2"/>
  <c r="F27" i="2" s="1"/>
  <c r="E29" i="2"/>
  <c r="F29" i="2" s="1"/>
  <c r="E31" i="2"/>
  <c r="F31" i="2" s="1"/>
  <c r="E5" i="2"/>
  <c r="F5" i="2" s="1"/>
  <c r="E35" i="2"/>
  <c r="F35" i="2" s="1"/>
  <c r="E37" i="2"/>
  <c r="F37" i="2" s="1"/>
  <c r="E39" i="2"/>
  <c r="F39" i="2" s="1"/>
  <c r="E3" i="2"/>
  <c r="F3" i="2" s="1"/>
  <c r="E7" i="2"/>
  <c r="F7" i="2" s="1"/>
  <c r="E4" i="2"/>
  <c r="F4" i="2" s="1"/>
  <c r="E11" i="2"/>
  <c r="F11" i="2" s="1"/>
  <c r="E13" i="2"/>
  <c r="F13" i="2" s="1"/>
  <c r="E15" i="2"/>
  <c r="F15" i="2" s="1"/>
  <c r="E36" i="2"/>
  <c r="F36" i="2" s="1"/>
  <c r="E43" i="2"/>
  <c r="F43" i="2" s="1"/>
  <c r="E45" i="2"/>
  <c r="F45" i="2" s="1"/>
  <c r="E47" i="2"/>
  <c r="F47" i="2" s="1"/>
  <c r="E6" i="2"/>
  <c r="F6" i="2" s="1"/>
  <c r="E14" i="2"/>
  <c r="F14" i="2" s="1"/>
  <c r="E22" i="2"/>
  <c r="F22" i="2" s="1"/>
  <c r="E30" i="2"/>
  <c r="F30" i="2" s="1"/>
  <c r="E38" i="2"/>
  <c r="F38" i="2" s="1"/>
  <c r="E46" i="2"/>
  <c r="F46" i="2" s="1"/>
  <c r="E8" i="2"/>
  <c r="F8" i="2" s="1"/>
  <c r="E16" i="2"/>
  <c r="F16" i="2" s="1"/>
  <c r="E24" i="2"/>
  <c r="F24" i="2" s="1"/>
  <c r="E32" i="2"/>
  <c r="F32" i="2" s="1"/>
  <c r="E40" i="2"/>
  <c r="F40" i="2" s="1"/>
  <c r="E48" i="2"/>
  <c r="F48" i="2" s="1"/>
  <c r="E2" i="2"/>
  <c r="E10" i="2"/>
  <c r="F10" i="2" s="1"/>
  <c r="E18" i="2"/>
  <c r="F18" i="2" s="1"/>
  <c r="E26" i="2"/>
  <c r="F26" i="2" s="1"/>
  <c r="E34" i="2"/>
  <c r="F34" i="2" s="1"/>
  <c r="E42" i="2"/>
  <c r="F42" i="2" s="1"/>
  <c r="E50" i="2"/>
  <c r="F50" i="2" s="1"/>
  <c r="D15" i="4"/>
  <c r="F2" i="2" l="1"/>
  <c r="D13" i="4"/>
  <c r="D14" i="4"/>
</calcChain>
</file>

<file path=xl/sharedStrings.xml><?xml version="1.0" encoding="utf-8"?>
<sst xmlns="http://schemas.openxmlformats.org/spreadsheetml/2006/main" count="201" uniqueCount="102">
  <si>
    <t>Customer Name</t>
  </si>
  <si>
    <t>Credit Score</t>
  </si>
  <si>
    <t>Area</t>
  </si>
  <si>
    <t>Gender</t>
  </si>
  <si>
    <t>Tenure (Years)</t>
  </si>
  <si>
    <t>Account Balance (INR)</t>
  </si>
  <si>
    <t>Aarav Sharma</t>
  </si>
  <si>
    <t>Central</t>
  </si>
  <si>
    <t>Female</t>
  </si>
  <si>
    <t>Ananya Verma</t>
  </si>
  <si>
    <t>East</t>
  </si>
  <si>
    <t>Vivaan Gupta</t>
  </si>
  <si>
    <t>Diya Singh</t>
  </si>
  <si>
    <t>West</t>
  </si>
  <si>
    <t>Aditya Mehta</t>
  </si>
  <si>
    <t>South</t>
  </si>
  <si>
    <t>Male</t>
  </si>
  <si>
    <t>Ishita Patel</t>
  </si>
  <si>
    <t>Arjun Kumar</t>
  </si>
  <si>
    <t>Saanvi Joshi</t>
  </si>
  <si>
    <t>North</t>
  </si>
  <si>
    <t>Reyansh Malhotra</t>
  </si>
  <si>
    <t>Aadhya Jain</t>
  </si>
  <si>
    <t>Krishna Reddy</t>
  </si>
  <si>
    <t>Myra Kapoor</t>
  </si>
  <si>
    <t>Ishaan Das</t>
  </si>
  <si>
    <t>Pari Agarwal</t>
  </si>
  <si>
    <t>Kabir Nair</t>
  </si>
  <si>
    <t>Navya Chawla</t>
  </si>
  <si>
    <t>Rohan Bansal</t>
  </si>
  <si>
    <t>Kiara Iyer</t>
  </si>
  <si>
    <t>Dhruv Saxena</t>
  </si>
  <si>
    <t>Aanya Mishra</t>
  </si>
  <si>
    <t>Yash Thakur</t>
  </si>
  <si>
    <t>Sara Khan</t>
  </si>
  <si>
    <t>Atharv Desai</t>
  </si>
  <si>
    <t>Prisha Sinha</t>
  </si>
  <si>
    <t>Veer Khanna</t>
  </si>
  <si>
    <t>Anvi Rao</t>
  </si>
  <si>
    <t>Dev Arora</t>
  </si>
  <si>
    <t>Meera Pillai</t>
  </si>
  <si>
    <t>Neil Fernandes</t>
  </si>
  <si>
    <t>Tara Kulkarni</t>
  </si>
  <si>
    <t>Rudra Bose</t>
  </si>
  <si>
    <t>Zoya Sheikh</t>
  </si>
  <si>
    <t>Kian Oberoi</t>
  </si>
  <si>
    <t>Riya Menon</t>
  </si>
  <si>
    <t>Om Prakash</t>
  </si>
  <si>
    <t>Aisha Qureshi</t>
  </si>
  <si>
    <t>Manav Tripathi</t>
  </si>
  <si>
    <t>Lavanya Ghosh</t>
  </si>
  <si>
    <t>Shaurya Yadav</t>
  </si>
  <si>
    <t>Naina Roy</t>
  </si>
  <si>
    <t>Parth Bhatt</t>
  </si>
  <si>
    <t>Mira Thomas</t>
  </si>
  <si>
    <t>Samar Choudhary</t>
  </si>
  <si>
    <t>Ira Mukherjee</t>
  </si>
  <si>
    <t>Ayaan Gill</t>
  </si>
  <si>
    <t>Kavya Narang</t>
  </si>
  <si>
    <t>Vihaan Dutta</t>
  </si>
  <si>
    <t>Tanvi Puri</t>
  </si>
  <si>
    <t>Aryan Sethi</t>
  </si>
  <si>
    <t>Shreya Banerjee</t>
  </si>
  <si>
    <t>Engagement Tier</t>
  </si>
  <si>
    <t>Suggested Action</t>
  </si>
  <si>
    <t>Savings Account</t>
  </si>
  <si>
    <t>Credit Card</t>
  </si>
  <si>
    <t>Personal Loan</t>
  </si>
  <si>
    <t>Home Loan</t>
  </si>
  <si>
    <t>Digital Banking</t>
  </si>
  <si>
    <t>Products Used</t>
  </si>
  <si>
    <t>Utilization Segment</t>
  </si>
  <si>
    <t>CUSTOMER ENGAGEMENT &amp; PRODUCT UTILIZATION</t>
  </si>
  <si>
    <t>Analytics for Customer Retention Strategy • 50 synthetic customer records</t>
  </si>
  <si>
    <t>BACKGROUND AND CONTEXT</t>
  </si>
  <si>
    <t>KEY PERFORMANCE INDICATORS (KPIs)</t>
  </si>
  <si>
    <t>Total Customers</t>
  </si>
  <si>
    <t>Average Credit Score</t>
  </si>
  <si>
    <t>Average Account Balance (INR)</t>
  </si>
  <si>
    <t>Average Tenure (Years)</t>
  </si>
  <si>
    <t>High Engagement Customers</t>
  </si>
  <si>
    <t>Needs Attention Customers</t>
  </si>
  <si>
    <t>Average Products Used</t>
  </si>
  <si>
    <t>Digital Banking Adoption</t>
  </si>
  <si>
    <t>ANALYTICAL METHODOLOGY</t>
  </si>
  <si>
    <t>●</t>
  </si>
  <si>
    <t>1. Data validation</t>
  </si>
  <si>
    <t>Review customer records, score ranges, tenure, area, gender, and account balances.</t>
  </si>
  <si>
    <t>2. Engagement classification</t>
  </si>
  <si>
    <t>High: score ≥ 750, tenure ≥ 5 years, and balance ≥ ₹100,000. Needs Attention: score &lt; 600 or tenure ≤ 2 years. Others: Moderate.</t>
  </si>
  <si>
    <t>3. Product utilization</t>
  </si>
  <si>
    <t>Track savings account, credit card, personal loan, home loan, and digital banking indicators.</t>
  </si>
  <si>
    <t>4. Retention strategy</t>
  </si>
  <si>
    <t>Prioritize customers needing attention and recommend relevant products to low-use customers.</t>
  </si>
  <si>
    <t>DELIVERABLES AND SUBMISSION</t>
  </si>
  <si>
    <t>• Sheet 1 — Raw Data: 50 customers with credit score, area, gender, tenure, and account balance.</t>
  </si>
  <si>
    <t>• Sheet 2 — Engagement Classification: formula-based engagement tier and suggested action.</t>
  </si>
  <si>
    <t>• Sheet 3 — Product Utilization: product indicators, number of products used, and utilization segment.</t>
  </si>
  <si>
    <t>• Sheet 4 — KPI Dashboard: headline metrics, project context, and methodology.</t>
  </si>
  <si>
    <t xml:space="preserve">Customer Name </t>
  </si>
  <si>
    <t>This workbook uses demonstrate customer engagement classification, bank product utilization, and retention opportunities.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</si>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</sst>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₹#,##0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44546A"/>
      <name val="Calibri"/>
    </font>
    <font>
      <b/>
      <sz val="11"/>
      <color rgb="FFFFFFFF"/>
      <name val="Calibri"/>
    </font>
    <font>
      <b/>
      <sz val="11"/>
      <color rgb="FF263238"/>
      <name val="Calibri"/>
    </font>
    <font>
      <b/>
      <sz val="12"/>
      <color rgb="FF17365D"/>
      <name val="Calibri"/>
    </font>
    <font>
      <b/>
      <sz val="11"/>
      <color rgb="FF17365D"/>
      <name val="Calibri"/>
    </font>
    <font>
      <b/>
      <sz val="10"/>
      <color rgb="FFFFFFFF"/>
      <name val="Calibri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F81BD"/>
      </bottom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/>
    </xf>
    <xf numFmtId="165" fontId="0" fillId="6" borderId="2" xfId="0" applyNumberFormat="1" applyFill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1" fontId="0" fillId="6" borderId="2" xfId="0" applyNumberFormat="1" applyFill="1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0" fillId="4" borderId="0" xfId="0" applyFill="1"/>
    <xf numFmtId="0" fontId="6" fillId="4" borderId="0" xfId="0" applyFont="1" applyFill="1"/>
    <xf numFmtId="0" fontId="0" fillId="7" borderId="0" xfId="0" applyFill="1"/>
    <xf numFmtId="0" fontId="6" fillId="7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/>
    </xf>
    <xf numFmtId="0" fontId="0" fillId="0" borderId="0" xfId="0"/>
    <xf numFmtId="9" fontId="5" fillId="6" borderId="0" xfId="0" applyNumberFormat="1" applyFont="1" applyFill="1" applyAlignment="1">
      <alignment horizontal="center" vertical="center"/>
    </xf>
    <xf numFmtId="0" fontId="0" fillId="9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7" borderId="0" xfId="0" applyFill="1" applyAlignment="1">
      <alignment vertical="center" wrapText="1"/>
    </xf>
    <xf numFmtId="0" fontId="0" fillId="7" borderId="0" xfId="0" applyFill="1"/>
    <xf numFmtId="0" fontId="4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164" fontId="5" fillId="6" borderId="0" xfId="0" applyNumberFormat="1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2" fillId="0" borderId="0" xfId="0" applyFont="1" applyAlignment="1">
      <alignment horizontal="center" wrapText="1"/>
    </xf>
    <xf numFmtId="165" fontId="5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showGridLines="0" workbookViewId="0">
      <pane ySplit="1" topLeftCell="A2" activePane="bottomLeft" state="frozen"/>
      <selection pane="bottomLeft" activeCell="I47" sqref="I47"/>
    </sheetView>
  </sheetViews>
  <sheetFormatPr defaultRowHeight="14.5" x14ac:dyDescent="0.35"/>
  <cols>
    <col min="1" max="1" width="24" customWidth="1"/>
    <col min="2" max="2" width="15" customWidth="1"/>
    <col min="3" max="4" width="14" customWidth="1"/>
    <col min="5" max="5" width="18" customWidth="1"/>
    <col min="6" max="6" width="24" customWidth="1"/>
  </cols>
  <sheetData>
    <row r="1" spans="1:6" ht="34" customHeight="1" x14ac:dyDescent="0.35">
      <c r="A1" s="14" t="s">
        <v>99</v>
      </c>
      <c r="B1" s="1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 x14ac:dyDescent="0.35">
      <c r="A2" s="2" t="s">
        <v>6</v>
      </c>
      <c r="B2" s="2">
        <v>542</v>
      </c>
      <c r="C2" s="2" t="s">
        <v>7</v>
      </c>
      <c r="D2" s="2" t="s">
        <v>101</v>
      </c>
      <c r="E2" s="2">
        <v>17</v>
      </c>
      <c r="F2" s="3">
        <v>515000</v>
      </c>
    </row>
    <row r="3" spans="1:6" ht="24" customHeight="1" x14ac:dyDescent="0.35">
      <c r="A3" s="4" t="s">
        <v>9</v>
      </c>
      <c r="B3" s="4">
        <v>824</v>
      </c>
      <c r="C3" s="4" t="s">
        <v>10</v>
      </c>
      <c r="D3" s="4" t="s">
        <v>8</v>
      </c>
      <c r="E3" s="4">
        <v>9</v>
      </c>
      <c r="F3" s="5">
        <v>1055000</v>
      </c>
    </row>
    <row r="4" spans="1:6" ht="24" customHeight="1" x14ac:dyDescent="0.35">
      <c r="A4" s="2" t="s">
        <v>11</v>
      </c>
      <c r="B4" s="2">
        <v>531</v>
      </c>
      <c r="C4" s="2" t="s">
        <v>7</v>
      </c>
      <c r="D4" s="2" t="s">
        <v>101</v>
      </c>
      <c r="E4" s="2">
        <v>3</v>
      </c>
      <c r="F4" s="3">
        <v>2360000</v>
      </c>
    </row>
    <row r="5" spans="1:6" ht="24" customHeight="1" x14ac:dyDescent="0.35">
      <c r="A5" s="4" t="s">
        <v>12</v>
      </c>
      <c r="B5" s="4">
        <v>570</v>
      </c>
      <c r="C5" s="4" t="s">
        <v>13</v>
      </c>
      <c r="D5" s="4" t="s">
        <v>8</v>
      </c>
      <c r="E5" s="4">
        <v>4</v>
      </c>
      <c r="F5" s="5">
        <v>1485000</v>
      </c>
    </row>
    <row r="6" spans="1:6" ht="24" customHeight="1" x14ac:dyDescent="0.35">
      <c r="A6" s="2" t="s">
        <v>14</v>
      </c>
      <c r="B6" s="2">
        <v>777</v>
      </c>
      <c r="C6" s="2" t="s">
        <v>15</v>
      </c>
      <c r="D6" s="2" t="s">
        <v>16</v>
      </c>
      <c r="E6" s="2">
        <v>8</v>
      </c>
      <c r="F6" s="3">
        <v>1985000</v>
      </c>
    </row>
    <row r="7" spans="1:6" ht="24" customHeight="1" x14ac:dyDescent="0.35">
      <c r="A7" s="4" t="s">
        <v>17</v>
      </c>
      <c r="B7" s="4">
        <v>588</v>
      </c>
      <c r="C7" s="4" t="s">
        <v>13</v>
      </c>
      <c r="D7" s="4" t="s">
        <v>8</v>
      </c>
      <c r="E7" s="4">
        <v>18</v>
      </c>
      <c r="F7" s="5">
        <v>1810000</v>
      </c>
    </row>
    <row r="8" spans="1:6" ht="24" customHeight="1" x14ac:dyDescent="0.35">
      <c r="A8" s="2" t="s">
        <v>18</v>
      </c>
      <c r="B8" s="2">
        <v>581</v>
      </c>
      <c r="C8" s="2" t="s">
        <v>7</v>
      </c>
      <c r="D8" s="2" t="s">
        <v>16</v>
      </c>
      <c r="E8" s="2">
        <v>17</v>
      </c>
      <c r="F8" s="3">
        <v>1265000</v>
      </c>
    </row>
    <row r="9" spans="1:6" ht="24" customHeight="1" x14ac:dyDescent="0.35">
      <c r="A9" s="4" t="s">
        <v>19</v>
      </c>
      <c r="B9" s="4">
        <v>566</v>
      </c>
      <c r="C9" s="4" t="s">
        <v>20</v>
      </c>
      <c r="D9" s="4" t="s">
        <v>8</v>
      </c>
      <c r="E9" s="4">
        <v>13</v>
      </c>
      <c r="F9" s="5">
        <v>1160000</v>
      </c>
    </row>
    <row r="10" spans="1:6" ht="24" customHeight="1" x14ac:dyDescent="0.35">
      <c r="A10" s="2" t="s">
        <v>21</v>
      </c>
      <c r="B10" s="2">
        <v>665</v>
      </c>
      <c r="C10" s="2" t="s">
        <v>13</v>
      </c>
      <c r="D10" s="2" t="s">
        <v>16</v>
      </c>
      <c r="E10" s="2">
        <v>10</v>
      </c>
      <c r="F10" s="3">
        <v>1885000</v>
      </c>
    </row>
    <row r="11" spans="1:6" ht="24" customHeight="1" x14ac:dyDescent="0.35">
      <c r="A11" s="4" t="s">
        <v>22</v>
      </c>
      <c r="B11" s="4">
        <v>543</v>
      </c>
      <c r="C11" s="4" t="s">
        <v>20</v>
      </c>
      <c r="D11" s="4" t="s">
        <v>8</v>
      </c>
      <c r="E11" s="4">
        <v>10</v>
      </c>
      <c r="F11" s="5">
        <v>1760000</v>
      </c>
    </row>
    <row r="12" spans="1:6" ht="24" customHeight="1" x14ac:dyDescent="0.35">
      <c r="A12" s="2" t="s">
        <v>23</v>
      </c>
      <c r="B12" s="2">
        <v>778</v>
      </c>
      <c r="C12" s="2" t="s">
        <v>13</v>
      </c>
      <c r="D12" s="2" t="s">
        <v>8</v>
      </c>
      <c r="E12" s="2">
        <v>6</v>
      </c>
      <c r="F12" s="3">
        <v>1120000</v>
      </c>
    </row>
    <row r="13" spans="1:6" ht="24" customHeight="1" x14ac:dyDescent="0.35">
      <c r="A13" s="4" t="s">
        <v>24</v>
      </c>
      <c r="B13" s="4">
        <v>740</v>
      </c>
      <c r="C13" s="4" t="s">
        <v>10</v>
      </c>
      <c r="D13" s="4" t="s">
        <v>8</v>
      </c>
      <c r="E13" s="4">
        <v>4</v>
      </c>
      <c r="F13" s="5">
        <v>520000</v>
      </c>
    </row>
    <row r="14" spans="1:6" ht="24" customHeight="1" x14ac:dyDescent="0.35">
      <c r="A14" s="2" t="s">
        <v>25</v>
      </c>
      <c r="B14" s="2">
        <v>524</v>
      </c>
      <c r="C14" s="2" t="s">
        <v>13</v>
      </c>
      <c r="D14" s="2" t="s">
        <v>16</v>
      </c>
      <c r="E14" s="2">
        <v>2</v>
      </c>
      <c r="F14" s="3">
        <v>1460000</v>
      </c>
    </row>
    <row r="15" spans="1:6" ht="24" customHeight="1" x14ac:dyDescent="0.35">
      <c r="A15" s="4" t="s">
        <v>26</v>
      </c>
      <c r="B15" s="4">
        <v>682</v>
      </c>
      <c r="C15" s="4" t="s">
        <v>20</v>
      </c>
      <c r="D15" s="4" t="s">
        <v>8</v>
      </c>
      <c r="E15" s="4">
        <v>9</v>
      </c>
      <c r="F15" s="5">
        <v>1675000</v>
      </c>
    </row>
    <row r="16" spans="1:6" ht="24" customHeight="1" x14ac:dyDescent="0.35">
      <c r="A16" s="2" t="s">
        <v>27</v>
      </c>
      <c r="B16" s="2">
        <v>758</v>
      </c>
      <c r="C16" s="2" t="s">
        <v>7</v>
      </c>
      <c r="D16" s="2" t="s">
        <v>101</v>
      </c>
      <c r="E16" s="2">
        <v>11</v>
      </c>
      <c r="F16" s="3">
        <v>2060000</v>
      </c>
    </row>
    <row r="17" spans="1:6" ht="24" customHeight="1" x14ac:dyDescent="0.35">
      <c r="A17" s="4" t="s">
        <v>28</v>
      </c>
      <c r="B17" s="4">
        <v>850</v>
      </c>
      <c r="C17" s="4" t="s">
        <v>7</v>
      </c>
      <c r="D17" s="4" t="s">
        <v>8</v>
      </c>
      <c r="E17" s="4">
        <v>16</v>
      </c>
      <c r="F17" s="5">
        <v>2400000</v>
      </c>
    </row>
    <row r="18" spans="1:6" ht="24" customHeight="1" x14ac:dyDescent="0.35">
      <c r="A18" s="2" t="s">
        <v>29</v>
      </c>
      <c r="B18" s="2">
        <v>579</v>
      </c>
      <c r="C18" s="2" t="s">
        <v>7</v>
      </c>
      <c r="D18" s="2" t="s">
        <v>101</v>
      </c>
      <c r="E18" s="2">
        <v>9</v>
      </c>
      <c r="F18" s="3">
        <v>1840000</v>
      </c>
    </row>
    <row r="19" spans="1:6" ht="24" customHeight="1" x14ac:dyDescent="0.35">
      <c r="A19" s="4" t="s">
        <v>30</v>
      </c>
      <c r="B19" s="4">
        <v>709</v>
      </c>
      <c r="C19" s="4" t="s">
        <v>15</v>
      </c>
      <c r="D19" s="4" t="s">
        <v>8</v>
      </c>
      <c r="E19" s="4">
        <v>11</v>
      </c>
      <c r="F19" s="5">
        <v>2490000</v>
      </c>
    </row>
    <row r="20" spans="1:6" ht="24" customHeight="1" x14ac:dyDescent="0.35">
      <c r="A20" s="2" t="s">
        <v>31</v>
      </c>
      <c r="B20" s="2">
        <v>540</v>
      </c>
      <c r="C20" s="2" t="s">
        <v>10</v>
      </c>
      <c r="D20" s="2" t="s">
        <v>101</v>
      </c>
      <c r="E20" s="2">
        <v>11</v>
      </c>
      <c r="F20" s="3">
        <v>1120000</v>
      </c>
    </row>
    <row r="21" spans="1:6" ht="24" customHeight="1" x14ac:dyDescent="0.35">
      <c r="A21" s="4" t="s">
        <v>32</v>
      </c>
      <c r="B21" s="4">
        <v>654</v>
      </c>
      <c r="C21" s="4" t="s">
        <v>10</v>
      </c>
      <c r="D21" s="4" t="s">
        <v>8</v>
      </c>
      <c r="E21" s="4">
        <v>8</v>
      </c>
      <c r="F21" s="5">
        <v>1005000</v>
      </c>
    </row>
    <row r="22" spans="1:6" ht="24" customHeight="1" x14ac:dyDescent="0.35">
      <c r="A22" s="2" t="s">
        <v>33</v>
      </c>
      <c r="B22" s="2">
        <v>574</v>
      </c>
      <c r="C22" s="2" t="s">
        <v>7</v>
      </c>
      <c r="D22" s="2" t="s">
        <v>101</v>
      </c>
      <c r="E22" s="2">
        <v>2</v>
      </c>
      <c r="F22" s="3">
        <v>1505000</v>
      </c>
    </row>
    <row r="23" spans="1:6" ht="24" customHeight="1" x14ac:dyDescent="0.35">
      <c r="A23" s="4" t="s">
        <v>34</v>
      </c>
      <c r="B23" s="4">
        <v>645</v>
      </c>
      <c r="C23" s="4" t="s">
        <v>7</v>
      </c>
      <c r="D23" s="4" t="s">
        <v>8</v>
      </c>
      <c r="E23" s="4">
        <v>9</v>
      </c>
      <c r="F23" s="5">
        <v>490000</v>
      </c>
    </row>
    <row r="24" spans="1:6" ht="24" customHeight="1" x14ac:dyDescent="0.35">
      <c r="A24" s="2" t="s">
        <v>35</v>
      </c>
      <c r="B24" s="2">
        <v>747</v>
      </c>
      <c r="C24" s="2" t="s">
        <v>15</v>
      </c>
      <c r="D24" s="2" t="s">
        <v>101</v>
      </c>
      <c r="E24" s="2">
        <v>15</v>
      </c>
      <c r="F24" s="3">
        <v>800000</v>
      </c>
    </row>
    <row r="25" spans="1:6" ht="24" customHeight="1" x14ac:dyDescent="0.35">
      <c r="A25" s="4" t="s">
        <v>36</v>
      </c>
      <c r="B25" s="4">
        <v>643</v>
      </c>
      <c r="C25" s="4" t="s">
        <v>10</v>
      </c>
      <c r="D25" s="4" t="s">
        <v>8</v>
      </c>
      <c r="E25" s="4">
        <v>12</v>
      </c>
      <c r="F25" s="5">
        <v>1180000</v>
      </c>
    </row>
    <row r="26" spans="1:6" ht="24" customHeight="1" x14ac:dyDescent="0.35">
      <c r="A26" s="2" t="s">
        <v>37</v>
      </c>
      <c r="B26" s="2">
        <v>818</v>
      </c>
      <c r="C26" s="2" t="s">
        <v>13</v>
      </c>
      <c r="D26" s="2" t="s">
        <v>101</v>
      </c>
      <c r="E26" s="2">
        <v>7</v>
      </c>
      <c r="F26" s="3">
        <v>1575000</v>
      </c>
    </row>
    <row r="27" spans="1:6" ht="24" customHeight="1" x14ac:dyDescent="0.35">
      <c r="A27" s="4" t="s">
        <v>38</v>
      </c>
      <c r="B27" s="4">
        <v>663</v>
      </c>
      <c r="C27" s="4" t="s">
        <v>13</v>
      </c>
      <c r="D27" s="4" t="s">
        <v>16</v>
      </c>
      <c r="E27" s="4">
        <v>15</v>
      </c>
      <c r="F27" s="5">
        <v>130000</v>
      </c>
    </row>
    <row r="28" spans="1:6" ht="24" customHeight="1" x14ac:dyDescent="0.35">
      <c r="A28" s="2" t="s">
        <v>39</v>
      </c>
      <c r="B28" s="2">
        <v>644</v>
      </c>
      <c r="C28" s="2" t="s">
        <v>20</v>
      </c>
      <c r="D28" s="2" t="s">
        <v>16</v>
      </c>
      <c r="E28" s="2">
        <v>14</v>
      </c>
      <c r="F28" s="3">
        <v>1625000</v>
      </c>
    </row>
    <row r="29" spans="1:6" ht="24" customHeight="1" x14ac:dyDescent="0.35">
      <c r="A29" s="4" t="s">
        <v>40</v>
      </c>
      <c r="B29" s="4">
        <v>615</v>
      </c>
      <c r="C29" s="4" t="s">
        <v>7</v>
      </c>
      <c r="D29" s="4" t="s">
        <v>8</v>
      </c>
      <c r="E29" s="4">
        <v>3</v>
      </c>
      <c r="F29" s="5">
        <v>715000</v>
      </c>
    </row>
    <row r="30" spans="1:6" ht="24" customHeight="1" x14ac:dyDescent="0.35">
      <c r="A30" s="2" t="s">
        <v>41</v>
      </c>
      <c r="B30" s="2">
        <v>643</v>
      </c>
      <c r="C30" s="2" t="s">
        <v>20</v>
      </c>
      <c r="D30" s="2" t="s">
        <v>16</v>
      </c>
      <c r="E30" s="2">
        <v>8</v>
      </c>
      <c r="F30" s="3">
        <v>1245000</v>
      </c>
    </row>
    <row r="31" spans="1:6" ht="24" customHeight="1" x14ac:dyDescent="0.35">
      <c r="A31" s="4" t="s">
        <v>42</v>
      </c>
      <c r="B31" s="4">
        <v>736</v>
      </c>
      <c r="C31" s="4" t="s">
        <v>20</v>
      </c>
      <c r="D31" s="4" t="s">
        <v>8</v>
      </c>
      <c r="E31" s="4">
        <v>4</v>
      </c>
      <c r="F31" s="5">
        <v>445000</v>
      </c>
    </row>
    <row r="32" spans="1:6" ht="24" customHeight="1" x14ac:dyDescent="0.35">
      <c r="A32" s="2" t="s">
        <v>43</v>
      </c>
      <c r="B32" s="2">
        <v>826</v>
      </c>
      <c r="C32" s="2" t="s">
        <v>10</v>
      </c>
      <c r="D32" s="2" t="s">
        <v>101</v>
      </c>
      <c r="E32" s="2">
        <v>10</v>
      </c>
      <c r="F32" s="3">
        <v>465000</v>
      </c>
    </row>
    <row r="33" spans="1:6" ht="24" customHeight="1" x14ac:dyDescent="0.35">
      <c r="A33" s="4" t="s">
        <v>44</v>
      </c>
      <c r="B33" s="4">
        <v>557</v>
      </c>
      <c r="C33" s="4" t="s">
        <v>20</v>
      </c>
      <c r="D33" s="4" t="s">
        <v>8</v>
      </c>
      <c r="E33" s="4">
        <v>18</v>
      </c>
      <c r="F33" s="5">
        <v>1175000</v>
      </c>
    </row>
    <row r="34" spans="1:6" ht="24" customHeight="1" x14ac:dyDescent="0.35">
      <c r="A34" s="2" t="s">
        <v>45</v>
      </c>
      <c r="B34" s="2">
        <v>678</v>
      </c>
      <c r="C34" s="2" t="s">
        <v>10</v>
      </c>
      <c r="D34" s="2" t="s">
        <v>16</v>
      </c>
      <c r="E34" s="2">
        <v>9</v>
      </c>
      <c r="F34" s="3">
        <v>2420000</v>
      </c>
    </row>
    <row r="35" spans="1:6" ht="24" customHeight="1" x14ac:dyDescent="0.35">
      <c r="A35" s="4" t="s">
        <v>46</v>
      </c>
      <c r="B35" s="4">
        <v>612</v>
      </c>
      <c r="C35" s="4" t="s">
        <v>20</v>
      </c>
      <c r="D35" s="4" t="s">
        <v>8</v>
      </c>
      <c r="E35" s="4">
        <v>16</v>
      </c>
      <c r="F35" s="5">
        <v>905000</v>
      </c>
    </row>
    <row r="36" spans="1:6" ht="24" customHeight="1" x14ac:dyDescent="0.35">
      <c r="A36" s="2" t="s">
        <v>47</v>
      </c>
      <c r="B36" s="2">
        <v>846</v>
      </c>
      <c r="C36" s="2" t="s">
        <v>7</v>
      </c>
      <c r="D36" s="2" t="s">
        <v>101</v>
      </c>
      <c r="E36" s="2">
        <v>2</v>
      </c>
      <c r="F36" s="3">
        <v>1530000</v>
      </c>
    </row>
    <row r="37" spans="1:6" ht="24" customHeight="1" x14ac:dyDescent="0.35">
      <c r="A37" s="4" t="s">
        <v>48</v>
      </c>
      <c r="B37" s="4">
        <v>627</v>
      </c>
      <c r="C37" s="4" t="s">
        <v>7</v>
      </c>
      <c r="D37" s="4" t="s">
        <v>8</v>
      </c>
      <c r="E37" s="4">
        <v>3</v>
      </c>
      <c r="F37" s="5">
        <v>65000</v>
      </c>
    </row>
    <row r="38" spans="1:6" ht="24" customHeight="1" x14ac:dyDescent="0.35">
      <c r="A38" s="2" t="s">
        <v>49</v>
      </c>
      <c r="B38" s="2">
        <v>845</v>
      </c>
      <c r="C38" s="2" t="s">
        <v>13</v>
      </c>
      <c r="D38" s="2" t="s">
        <v>101</v>
      </c>
      <c r="E38" s="2">
        <v>18</v>
      </c>
      <c r="F38" s="3">
        <v>180000</v>
      </c>
    </row>
    <row r="39" spans="1:6" ht="24" customHeight="1" x14ac:dyDescent="0.35">
      <c r="A39" s="4" t="s">
        <v>50</v>
      </c>
      <c r="B39" s="4">
        <v>791</v>
      </c>
      <c r="C39" s="4" t="s">
        <v>7</v>
      </c>
      <c r="D39" s="4" t="s">
        <v>8</v>
      </c>
      <c r="E39" s="4">
        <v>7</v>
      </c>
      <c r="F39" s="5">
        <v>1375000</v>
      </c>
    </row>
    <row r="40" spans="1:6" ht="24" customHeight="1" x14ac:dyDescent="0.35">
      <c r="A40" s="2" t="s">
        <v>51</v>
      </c>
      <c r="B40" s="2">
        <v>616</v>
      </c>
      <c r="C40" s="2" t="s">
        <v>10</v>
      </c>
      <c r="D40" s="2" t="s">
        <v>101</v>
      </c>
      <c r="E40" s="2">
        <v>7</v>
      </c>
      <c r="F40" s="3">
        <v>2325000</v>
      </c>
    </row>
    <row r="41" spans="1:6" ht="24" customHeight="1" x14ac:dyDescent="0.35">
      <c r="A41" s="4" t="s">
        <v>52</v>
      </c>
      <c r="B41" s="4">
        <v>759</v>
      </c>
      <c r="C41" s="4" t="s">
        <v>15</v>
      </c>
      <c r="D41" s="4" t="s">
        <v>8</v>
      </c>
      <c r="E41" s="4">
        <v>13</v>
      </c>
      <c r="F41" s="5">
        <v>1285000</v>
      </c>
    </row>
    <row r="42" spans="1:6" ht="24" customHeight="1" x14ac:dyDescent="0.35">
      <c r="A42" s="2" t="s">
        <v>53</v>
      </c>
      <c r="B42" s="2">
        <v>786</v>
      </c>
      <c r="C42" s="2" t="s">
        <v>7</v>
      </c>
      <c r="D42" s="2" t="s">
        <v>16</v>
      </c>
      <c r="E42" s="2">
        <v>15</v>
      </c>
      <c r="F42" s="3">
        <v>2330000</v>
      </c>
    </row>
    <row r="43" spans="1:6" ht="24" customHeight="1" x14ac:dyDescent="0.35">
      <c r="A43" s="4" t="s">
        <v>54</v>
      </c>
      <c r="B43" s="4">
        <v>587</v>
      </c>
      <c r="C43" s="4" t="s">
        <v>7</v>
      </c>
      <c r="D43" s="4" t="s">
        <v>8</v>
      </c>
      <c r="E43" s="4">
        <v>5</v>
      </c>
      <c r="F43" s="5">
        <v>125000</v>
      </c>
    </row>
    <row r="44" spans="1:6" ht="24" customHeight="1" x14ac:dyDescent="0.35">
      <c r="A44" s="2" t="s">
        <v>55</v>
      </c>
      <c r="B44" s="2">
        <v>561</v>
      </c>
      <c r="C44" s="2" t="s">
        <v>10</v>
      </c>
      <c r="D44" s="2" t="s">
        <v>101</v>
      </c>
      <c r="E44" s="2">
        <v>16</v>
      </c>
      <c r="F44" s="3">
        <v>1020000</v>
      </c>
    </row>
    <row r="45" spans="1:6" ht="24" customHeight="1" x14ac:dyDescent="0.35">
      <c r="A45" s="4" t="s">
        <v>56</v>
      </c>
      <c r="B45" s="4">
        <v>767</v>
      </c>
      <c r="C45" s="4" t="s">
        <v>20</v>
      </c>
      <c r="D45" s="4" t="s">
        <v>8</v>
      </c>
      <c r="E45" s="4">
        <v>18</v>
      </c>
      <c r="F45" s="5">
        <v>2195000</v>
      </c>
    </row>
    <row r="46" spans="1:6" ht="24" customHeight="1" x14ac:dyDescent="0.35">
      <c r="A46" s="2" t="s">
        <v>57</v>
      </c>
      <c r="B46" s="2">
        <v>769</v>
      </c>
      <c r="C46" s="2" t="s">
        <v>13</v>
      </c>
      <c r="D46" s="2" t="s">
        <v>101</v>
      </c>
      <c r="E46" s="2">
        <v>9</v>
      </c>
      <c r="F46" s="3">
        <v>330000</v>
      </c>
    </row>
    <row r="47" spans="1:6" ht="24" customHeight="1" x14ac:dyDescent="0.35">
      <c r="A47" s="4" t="s">
        <v>58</v>
      </c>
      <c r="B47" s="4">
        <v>717</v>
      </c>
      <c r="C47" s="4" t="s">
        <v>10</v>
      </c>
      <c r="D47" s="4" t="s">
        <v>16</v>
      </c>
      <c r="E47" s="4">
        <v>13</v>
      </c>
      <c r="F47" s="5">
        <v>1715000</v>
      </c>
    </row>
    <row r="48" spans="1:6" ht="24" customHeight="1" x14ac:dyDescent="0.35">
      <c r="A48" s="2" t="s">
        <v>59</v>
      </c>
      <c r="B48" s="2">
        <v>617</v>
      </c>
      <c r="C48" s="2" t="s">
        <v>20</v>
      </c>
      <c r="D48" s="2" t="s">
        <v>101</v>
      </c>
      <c r="E48" s="2">
        <v>2</v>
      </c>
      <c r="F48" s="3">
        <v>1905000</v>
      </c>
    </row>
    <row r="49" spans="1:6" ht="24" customHeight="1" x14ac:dyDescent="0.35">
      <c r="A49" s="4" t="s">
        <v>60</v>
      </c>
      <c r="B49" s="4">
        <v>767</v>
      </c>
      <c r="C49" s="4" t="s">
        <v>10</v>
      </c>
      <c r="D49" s="4" t="s">
        <v>8</v>
      </c>
      <c r="E49" s="4">
        <v>14</v>
      </c>
      <c r="F49" s="5">
        <v>1165000</v>
      </c>
    </row>
    <row r="50" spans="1:6" ht="24" customHeight="1" x14ac:dyDescent="0.35">
      <c r="A50" s="2" t="s">
        <v>61</v>
      </c>
      <c r="B50" s="2">
        <v>706</v>
      </c>
      <c r="C50" s="2" t="s">
        <v>15</v>
      </c>
      <c r="D50" s="2" t="s">
        <v>101</v>
      </c>
      <c r="E50" s="2">
        <v>10</v>
      </c>
      <c r="F50" s="3">
        <v>390000</v>
      </c>
    </row>
    <row r="51" spans="1:6" ht="24" customHeight="1" x14ac:dyDescent="0.35">
      <c r="A51" s="4" t="s">
        <v>62</v>
      </c>
      <c r="B51" s="4">
        <v>612</v>
      </c>
      <c r="C51" s="4" t="s">
        <v>10</v>
      </c>
      <c r="D51" s="4" t="s">
        <v>8</v>
      </c>
      <c r="E51" s="4">
        <v>17</v>
      </c>
      <c r="F51" s="5">
        <v>90000</v>
      </c>
    </row>
  </sheetData>
  <autoFilter ref="A1:F51"/>
  <conditionalFormatting sqref="B2:B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showGridLines="0" tabSelected="1" workbookViewId="0">
      <pane ySplit="1" topLeftCell="A13" activePane="bottomLeft" state="frozen"/>
      <selection pane="bottomLeft" activeCell="G42" sqref="G42"/>
    </sheetView>
  </sheetViews>
  <sheetFormatPr defaultRowHeight="14.5" x14ac:dyDescent="0.35"/>
  <cols>
    <col min="1" max="1" width="24" customWidth="1"/>
    <col min="2" max="2" width="15" customWidth="1"/>
    <col min="3" max="3" width="16" customWidth="1"/>
    <col min="4" max="4" width="24" customWidth="1"/>
    <col min="5" max="5" width="22" customWidth="1"/>
    <col min="6" max="6" width="46" customWidth="1"/>
  </cols>
  <sheetData>
    <row r="1" spans="1:6" ht="34" customHeight="1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63</v>
      </c>
      <c r="F1" s="1" t="s">
        <v>64</v>
      </c>
    </row>
    <row r="2" spans="1:6" ht="24" customHeight="1" x14ac:dyDescent="0.35">
      <c r="A2" s="2" t="str">
        <f>'Raw Data'!A2</f>
        <v>Aarav Sharma</v>
      </c>
      <c r="B2" s="2">
        <f>'Raw Data'!B2</f>
        <v>542</v>
      </c>
      <c r="C2" s="2">
        <f>'Raw Data'!E2</f>
        <v>17</v>
      </c>
      <c r="D2" s="3">
        <f>'Raw Data'!F2</f>
        <v>515000</v>
      </c>
      <c r="E2" s="2" t="str">
        <f t="shared" ref="E2:E33" si="0">IF(AND(B2&gt;=750,C2&gt;=5,D2&gt;=100000),"High",IF(OR(B2&lt;600,C2&lt;=2),"Needs Attention","Moderate"))</f>
        <v>Needs Attention</v>
      </c>
      <c r="F2" s="6" t="str">
        <f t="shared" ref="F2:F33" si="1">IF(E2="High","Offer premium products / loyalty benefits",IF(E2="Needs Attention","Proactive support and financial wellness","Personalized product recommendations"))</f>
        <v>Proactive support and financial wellness</v>
      </c>
    </row>
    <row r="3" spans="1:6" ht="24" customHeight="1" x14ac:dyDescent="0.35">
      <c r="A3" s="4" t="str">
        <f>'Raw Data'!A3</f>
        <v>Ananya Verma</v>
      </c>
      <c r="B3" s="4">
        <f>'Raw Data'!B3</f>
        <v>824</v>
      </c>
      <c r="C3" s="4">
        <f>'Raw Data'!E3</f>
        <v>9</v>
      </c>
      <c r="D3" s="5">
        <f>'Raw Data'!F3</f>
        <v>1055000</v>
      </c>
      <c r="E3" s="4" t="str">
        <f t="shared" si="0"/>
        <v>High</v>
      </c>
      <c r="F3" s="7" t="str">
        <f t="shared" si="1"/>
        <v>Offer premium products / loyalty benefits</v>
      </c>
    </row>
    <row r="4" spans="1:6" ht="24" customHeight="1" x14ac:dyDescent="0.35">
      <c r="A4" s="2" t="str">
        <f>'Raw Data'!A4</f>
        <v>Vivaan Gupta</v>
      </c>
      <c r="B4" s="2">
        <f>'Raw Data'!B4</f>
        <v>531</v>
      </c>
      <c r="C4" s="2">
        <f>'Raw Data'!E4</f>
        <v>3</v>
      </c>
      <c r="D4" s="3">
        <f>'Raw Data'!F4</f>
        <v>2360000</v>
      </c>
      <c r="E4" s="2" t="str">
        <f t="shared" si="0"/>
        <v>Needs Attention</v>
      </c>
      <c r="F4" s="6" t="str">
        <f t="shared" si="1"/>
        <v>Proactive support and financial wellness</v>
      </c>
    </row>
    <row r="5" spans="1:6" ht="24" customHeight="1" x14ac:dyDescent="0.35">
      <c r="A5" s="4" t="str">
        <f>'Raw Data'!A5</f>
        <v>Diya Singh</v>
      </c>
      <c r="B5" s="4">
        <f>'Raw Data'!B5</f>
        <v>570</v>
      </c>
      <c r="C5" s="4">
        <f>'Raw Data'!E5</f>
        <v>4</v>
      </c>
      <c r="D5" s="5">
        <f>'Raw Data'!F5</f>
        <v>1485000</v>
      </c>
      <c r="E5" s="4" t="str">
        <f t="shared" si="0"/>
        <v>Needs Attention</v>
      </c>
      <c r="F5" s="7" t="str">
        <f t="shared" si="1"/>
        <v>Proactive support and financial wellness</v>
      </c>
    </row>
    <row r="6" spans="1:6" ht="24" customHeight="1" x14ac:dyDescent="0.35">
      <c r="A6" s="2" t="str">
        <f>'Raw Data'!A6</f>
        <v>Aditya Mehta</v>
      </c>
      <c r="B6" s="2">
        <f>'Raw Data'!B6</f>
        <v>777</v>
      </c>
      <c r="C6" s="2">
        <f>'Raw Data'!E6</f>
        <v>8</v>
      </c>
      <c r="D6" s="3">
        <f>'Raw Data'!F6</f>
        <v>1985000</v>
      </c>
      <c r="E6" s="2" t="str">
        <f t="shared" si="0"/>
        <v>High</v>
      </c>
      <c r="F6" s="6" t="str">
        <f t="shared" si="1"/>
        <v>Offer premium products / loyalty benefits</v>
      </c>
    </row>
    <row r="7" spans="1:6" ht="24" customHeight="1" x14ac:dyDescent="0.35">
      <c r="A7" s="4" t="str">
        <f>'Raw Data'!A7</f>
        <v>Ishita Patel</v>
      </c>
      <c r="B7" s="4">
        <f>'Raw Data'!B7</f>
        <v>588</v>
      </c>
      <c r="C7" s="4">
        <f>'Raw Data'!E7</f>
        <v>18</v>
      </c>
      <c r="D7" s="5">
        <f>'Raw Data'!F7</f>
        <v>1810000</v>
      </c>
      <c r="E7" s="4" t="str">
        <f t="shared" si="0"/>
        <v>Needs Attention</v>
      </c>
      <c r="F7" s="7" t="str">
        <f t="shared" si="1"/>
        <v>Proactive support and financial wellness</v>
      </c>
    </row>
    <row r="8" spans="1:6" ht="24" customHeight="1" x14ac:dyDescent="0.35">
      <c r="A8" s="2" t="str">
        <f>'Raw Data'!A8</f>
        <v>Arjun Kumar</v>
      </c>
      <c r="B8" s="2">
        <f>'Raw Data'!B8</f>
        <v>581</v>
      </c>
      <c r="C8" s="2">
        <f>'Raw Data'!E8</f>
        <v>17</v>
      </c>
      <c r="D8" s="3">
        <f>'Raw Data'!F8</f>
        <v>1265000</v>
      </c>
      <c r="E8" s="2" t="str">
        <f t="shared" si="0"/>
        <v>Needs Attention</v>
      </c>
      <c r="F8" s="6" t="str">
        <f t="shared" si="1"/>
        <v>Proactive support and financial wellness</v>
      </c>
    </row>
    <row r="9" spans="1:6" ht="24" customHeight="1" x14ac:dyDescent="0.35">
      <c r="A9" s="4" t="str">
        <f>'Raw Data'!A9</f>
        <v>Saanvi Joshi</v>
      </c>
      <c r="B9" s="4">
        <f>'Raw Data'!B9</f>
        <v>566</v>
      </c>
      <c r="C9" s="4">
        <f>'Raw Data'!E9</f>
        <v>13</v>
      </c>
      <c r="D9" s="5">
        <f>'Raw Data'!F9</f>
        <v>1160000</v>
      </c>
      <c r="E9" s="4" t="str">
        <f t="shared" si="0"/>
        <v>Needs Attention</v>
      </c>
      <c r="F9" s="7" t="str">
        <f t="shared" si="1"/>
        <v>Proactive support and financial wellness</v>
      </c>
    </row>
    <row r="10" spans="1:6" ht="24" customHeight="1" x14ac:dyDescent="0.35">
      <c r="A10" s="2" t="str">
        <f>'Raw Data'!A10</f>
        <v>Reyansh Malhotra</v>
      </c>
      <c r="B10" s="2">
        <f>'Raw Data'!B10</f>
        <v>665</v>
      </c>
      <c r="C10" s="2">
        <f>'Raw Data'!E10</f>
        <v>10</v>
      </c>
      <c r="D10" s="3">
        <f>'Raw Data'!F10</f>
        <v>1885000</v>
      </c>
      <c r="E10" s="2" t="str">
        <f t="shared" si="0"/>
        <v>Moderate</v>
      </c>
      <c r="F10" s="6" t="str">
        <f t="shared" si="1"/>
        <v>Personalized product recommendations</v>
      </c>
    </row>
    <row r="11" spans="1:6" ht="24" customHeight="1" x14ac:dyDescent="0.35">
      <c r="A11" s="4" t="str">
        <f>'Raw Data'!A11</f>
        <v>Aadhya Jain</v>
      </c>
      <c r="B11" s="4">
        <f>'Raw Data'!B11</f>
        <v>543</v>
      </c>
      <c r="C11" s="4">
        <f>'Raw Data'!E11</f>
        <v>10</v>
      </c>
      <c r="D11" s="5">
        <f>'Raw Data'!F11</f>
        <v>1760000</v>
      </c>
      <c r="E11" s="4" t="str">
        <f t="shared" si="0"/>
        <v>Needs Attention</v>
      </c>
      <c r="F11" s="7" t="str">
        <f t="shared" si="1"/>
        <v>Proactive support and financial wellness</v>
      </c>
    </row>
    <row r="12" spans="1:6" ht="24" customHeight="1" x14ac:dyDescent="0.35">
      <c r="A12" s="2" t="str">
        <f>'Raw Data'!A12</f>
        <v>Krishna Reddy</v>
      </c>
      <c r="B12" s="2">
        <f>'Raw Data'!B12</f>
        <v>778</v>
      </c>
      <c r="C12" s="2">
        <f>'Raw Data'!E12</f>
        <v>6</v>
      </c>
      <c r="D12" s="3">
        <f>'Raw Data'!F12</f>
        <v>1120000</v>
      </c>
      <c r="E12" s="2" t="str">
        <f t="shared" si="0"/>
        <v>High</v>
      </c>
      <c r="F12" s="6" t="str">
        <f t="shared" si="1"/>
        <v>Offer premium products / loyalty benefits</v>
      </c>
    </row>
    <row r="13" spans="1:6" ht="24" customHeight="1" x14ac:dyDescent="0.35">
      <c r="A13" s="4" t="str">
        <f>'Raw Data'!A13</f>
        <v>Myra Kapoor</v>
      </c>
      <c r="B13" s="4">
        <f>'Raw Data'!B13</f>
        <v>740</v>
      </c>
      <c r="C13" s="4">
        <f>'Raw Data'!E13</f>
        <v>4</v>
      </c>
      <c r="D13" s="5">
        <f>'Raw Data'!F13</f>
        <v>520000</v>
      </c>
      <c r="E13" s="4" t="str">
        <f t="shared" si="0"/>
        <v>Moderate</v>
      </c>
      <c r="F13" s="7" t="str">
        <f t="shared" si="1"/>
        <v>Personalized product recommendations</v>
      </c>
    </row>
    <row r="14" spans="1:6" ht="24" customHeight="1" x14ac:dyDescent="0.35">
      <c r="A14" s="2" t="str">
        <f>'Raw Data'!A14</f>
        <v>Ishaan Das</v>
      </c>
      <c r="B14" s="2">
        <f>'Raw Data'!B14</f>
        <v>524</v>
      </c>
      <c r="C14" s="2">
        <f>'Raw Data'!E14</f>
        <v>2</v>
      </c>
      <c r="D14" s="3">
        <f>'Raw Data'!F14</f>
        <v>1460000</v>
      </c>
      <c r="E14" s="2" t="str">
        <f t="shared" si="0"/>
        <v>Needs Attention</v>
      </c>
      <c r="F14" s="6" t="str">
        <f t="shared" si="1"/>
        <v>Proactive support and financial wellness</v>
      </c>
    </row>
    <row r="15" spans="1:6" ht="24" customHeight="1" x14ac:dyDescent="0.35">
      <c r="A15" s="4" t="str">
        <f>'Raw Data'!A15</f>
        <v>Pari Agarwal</v>
      </c>
      <c r="B15" s="4">
        <f>'Raw Data'!B15</f>
        <v>682</v>
      </c>
      <c r="C15" s="4">
        <f>'Raw Data'!E15</f>
        <v>9</v>
      </c>
      <c r="D15" s="5">
        <f>'Raw Data'!F15</f>
        <v>1675000</v>
      </c>
      <c r="E15" s="4" t="str">
        <f t="shared" si="0"/>
        <v>Moderate</v>
      </c>
      <c r="F15" s="7" t="str">
        <f t="shared" si="1"/>
        <v>Personalized product recommendations</v>
      </c>
    </row>
    <row r="16" spans="1:6" ht="24" customHeight="1" x14ac:dyDescent="0.35">
      <c r="A16" s="2" t="str">
        <f>'Raw Data'!A16</f>
        <v>Kabir Nair</v>
      </c>
      <c r="B16" s="2">
        <f>'Raw Data'!B16</f>
        <v>758</v>
      </c>
      <c r="C16" s="2">
        <f>'Raw Data'!E16</f>
        <v>11</v>
      </c>
      <c r="D16" s="3">
        <f>'Raw Data'!F16</f>
        <v>2060000</v>
      </c>
      <c r="E16" s="2" t="str">
        <f t="shared" si="0"/>
        <v>High</v>
      </c>
      <c r="F16" s="6" t="str">
        <f t="shared" si="1"/>
        <v>Offer premium products / loyalty benefits</v>
      </c>
    </row>
    <row r="17" spans="1:6" ht="24" customHeight="1" x14ac:dyDescent="0.35">
      <c r="A17" s="4" t="str">
        <f>'Raw Data'!A17</f>
        <v>Navya Chawla</v>
      </c>
      <c r="B17" s="4">
        <f>'Raw Data'!B17</f>
        <v>850</v>
      </c>
      <c r="C17" s="4">
        <f>'Raw Data'!E17</f>
        <v>16</v>
      </c>
      <c r="D17" s="5">
        <f>'Raw Data'!F17</f>
        <v>2400000</v>
      </c>
      <c r="E17" s="4" t="str">
        <f t="shared" si="0"/>
        <v>High</v>
      </c>
      <c r="F17" s="7" t="str">
        <f t="shared" si="1"/>
        <v>Offer premium products / loyalty benefits</v>
      </c>
    </row>
    <row r="18" spans="1:6" ht="24" customHeight="1" x14ac:dyDescent="0.35">
      <c r="A18" s="2" t="str">
        <f>'Raw Data'!A18</f>
        <v>Rohan Bansal</v>
      </c>
      <c r="B18" s="2">
        <f>'Raw Data'!B18</f>
        <v>579</v>
      </c>
      <c r="C18" s="2">
        <f>'Raw Data'!E18</f>
        <v>9</v>
      </c>
      <c r="D18" s="3">
        <f>'Raw Data'!F18</f>
        <v>1840000</v>
      </c>
      <c r="E18" s="2" t="str">
        <f t="shared" si="0"/>
        <v>Needs Attention</v>
      </c>
      <c r="F18" s="6" t="str">
        <f t="shared" si="1"/>
        <v>Proactive support and financial wellness</v>
      </c>
    </row>
    <row r="19" spans="1:6" ht="24" customHeight="1" x14ac:dyDescent="0.35">
      <c r="A19" s="4" t="str">
        <f>'Raw Data'!A19</f>
        <v>Kiara Iyer</v>
      </c>
      <c r="B19" s="4">
        <f>'Raw Data'!B19</f>
        <v>709</v>
      </c>
      <c r="C19" s="4">
        <f>'Raw Data'!E19</f>
        <v>11</v>
      </c>
      <c r="D19" s="5">
        <f>'Raw Data'!F19</f>
        <v>2490000</v>
      </c>
      <c r="E19" s="4" t="str">
        <f t="shared" si="0"/>
        <v>Moderate</v>
      </c>
      <c r="F19" s="7" t="str">
        <f t="shared" si="1"/>
        <v>Personalized product recommendations</v>
      </c>
    </row>
    <row r="20" spans="1:6" ht="24" customHeight="1" x14ac:dyDescent="0.35">
      <c r="A20" s="2" t="str">
        <f>'Raw Data'!A20</f>
        <v>Dhruv Saxena</v>
      </c>
      <c r="B20" s="2">
        <f>'Raw Data'!B20</f>
        <v>540</v>
      </c>
      <c r="C20" s="2">
        <f>'Raw Data'!E20</f>
        <v>11</v>
      </c>
      <c r="D20" s="3">
        <f>'Raw Data'!F20</f>
        <v>1120000</v>
      </c>
      <c r="E20" s="2" t="str">
        <f t="shared" si="0"/>
        <v>Needs Attention</v>
      </c>
      <c r="F20" s="6" t="str">
        <f t="shared" si="1"/>
        <v>Proactive support and financial wellness</v>
      </c>
    </row>
    <row r="21" spans="1:6" ht="24" customHeight="1" x14ac:dyDescent="0.35">
      <c r="A21" s="4" t="str">
        <f>'Raw Data'!A21</f>
        <v>Aanya Mishra</v>
      </c>
      <c r="B21" s="4">
        <f>'Raw Data'!B21</f>
        <v>654</v>
      </c>
      <c r="C21" s="4">
        <f>'Raw Data'!E21</f>
        <v>8</v>
      </c>
      <c r="D21" s="5">
        <f>'Raw Data'!F21</f>
        <v>1005000</v>
      </c>
      <c r="E21" s="4" t="str">
        <f t="shared" si="0"/>
        <v>Moderate</v>
      </c>
      <c r="F21" s="7" t="str">
        <f t="shared" si="1"/>
        <v>Personalized product recommendations</v>
      </c>
    </row>
    <row r="22" spans="1:6" ht="24" customHeight="1" x14ac:dyDescent="0.35">
      <c r="A22" s="2" t="str">
        <f>'Raw Data'!A22</f>
        <v>Yash Thakur</v>
      </c>
      <c r="B22" s="2">
        <f>'Raw Data'!B22</f>
        <v>574</v>
      </c>
      <c r="C22" s="2">
        <f>'Raw Data'!E22</f>
        <v>2</v>
      </c>
      <c r="D22" s="3">
        <f>'Raw Data'!F22</f>
        <v>1505000</v>
      </c>
      <c r="E22" s="2" t="str">
        <f t="shared" si="0"/>
        <v>Needs Attention</v>
      </c>
      <c r="F22" s="6" t="str">
        <f t="shared" si="1"/>
        <v>Proactive support and financial wellness</v>
      </c>
    </row>
    <row r="23" spans="1:6" ht="24" customHeight="1" x14ac:dyDescent="0.35">
      <c r="A23" s="4" t="str">
        <f>'Raw Data'!A23</f>
        <v>Sara Khan</v>
      </c>
      <c r="B23" s="4">
        <f>'Raw Data'!B23</f>
        <v>645</v>
      </c>
      <c r="C23" s="4">
        <f>'Raw Data'!E23</f>
        <v>9</v>
      </c>
      <c r="D23" s="5">
        <f>'Raw Data'!F23</f>
        <v>490000</v>
      </c>
      <c r="E23" s="4" t="str">
        <f t="shared" si="0"/>
        <v>Moderate</v>
      </c>
      <c r="F23" s="7" t="str">
        <f t="shared" si="1"/>
        <v>Personalized product recommendations</v>
      </c>
    </row>
    <row r="24" spans="1:6" ht="24" customHeight="1" x14ac:dyDescent="0.35">
      <c r="A24" s="2" t="str">
        <f>'Raw Data'!A24</f>
        <v>Atharv Desai</v>
      </c>
      <c r="B24" s="2">
        <f>'Raw Data'!B24</f>
        <v>747</v>
      </c>
      <c r="C24" s="2">
        <f>'Raw Data'!E24</f>
        <v>15</v>
      </c>
      <c r="D24" s="3">
        <f>'Raw Data'!F24</f>
        <v>800000</v>
      </c>
      <c r="E24" s="2" t="str">
        <f t="shared" si="0"/>
        <v>Moderate</v>
      </c>
      <c r="F24" s="6" t="str">
        <f t="shared" si="1"/>
        <v>Personalized product recommendations</v>
      </c>
    </row>
    <row r="25" spans="1:6" ht="24" customHeight="1" x14ac:dyDescent="0.35">
      <c r="A25" s="4" t="str">
        <f>'Raw Data'!A25</f>
        <v>Prisha Sinha</v>
      </c>
      <c r="B25" s="4">
        <f>'Raw Data'!B25</f>
        <v>643</v>
      </c>
      <c r="C25" s="4">
        <f>'Raw Data'!E25</f>
        <v>12</v>
      </c>
      <c r="D25" s="5">
        <f>'Raw Data'!F25</f>
        <v>1180000</v>
      </c>
      <c r="E25" s="4" t="str">
        <f t="shared" si="0"/>
        <v>Moderate</v>
      </c>
      <c r="F25" s="7" t="str">
        <f t="shared" si="1"/>
        <v>Personalized product recommendations</v>
      </c>
    </row>
    <row r="26" spans="1:6" ht="24" customHeight="1" x14ac:dyDescent="0.35">
      <c r="A26" s="2" t="str">
        <f>'Raw Data'!A26</f>
        <v>Veer Khanna</v>
      </c>
      <c r="B26" s="2">
        <f>'Raw Data'!B26</f>
        <v>818</v>
      </c>
      <c r="C26" s="2">
        <f>'Raw Data'!E26</f>
        <v>7</v>
      </c>
      <c r="D26" s="3">
        <f>'Raw Data'!F26</f>
        <v>1575000</v>
      </c>
      <c r="E26" s="2" t="str">
        <f t="shared" si="0"/>
        <v>High</v>
      </c>
      <c r="F26" s="6" t="str">
        <f t="shared" si="1"/>
        <v>Offer premium products / loyalty benefits</v>
      </c>
    </row>
    <row r="27" spans="1:6" ht="24" customHeight="1" x14ac:dyDescent="0.35">
      <c r="A27" s="4" t="str">
        <f>'Raw Data'!A27</f>
        <v>Anvi Rao</v>
      </c>
      <c r="B27" s="4">
        <f>'Raw Data'!B27</f>
        <v>663</v>
      </c>
      <c r="C27" s="4">
        <f>'Raw Data'!E27</f>
        <v>15</v>
      </c>
      <c r="D27" s="5">
        <f>'Raw Data'!F27</f>
        <v>130000</v>
      </c>
      <c r="E27" s="4" t="str">
        <f t="shared" si="0"/>
        <v>Moderate</v>
      </c>
      <c r="F27" s="7" t="str">
        <f t="shared" si="1"/>
        <v>Personalized product recommendations</v>
      </c>
    </row>
    <row r="28" spans="1:6" ht="24" customHeight="1" x14ac:dyDescent="0.35">
      <c r="A28" s="2" t="str">
        <f>'Raw Data'!A28</f>
        <v>Dev Arora</v>
      </c>
      <c r="B28" s="2">
        <f>'Raw Data'!B28</f>
        <v>644</v>
      </c>
      <c r="C28" s="2">
        <f>'Raw Data'!E28</f>
        <v>14</v>
      </c>
      <c r="D28" s="3">
        <f>'Raw Data'!F28</f>
        <v>1625000</v>
      </c>
      <c r="E28" s="2" t="str">
        <f t="shared" si="0"/>
        <v>Moderate</v>
      </c>
      <c r="F28" s="6" t="str">
        <f t="shared" si="1"/>
        <v>Personalized product recommendations</v>
      </c>
    </row>
    <row r="29" spans="1:6" ht="24" customHeight="1" x14ac:dyDescent="0.35">
      <c r="A29" s="4" t="str">
        <f>'Raw Data'!A29</f>
        <v>Meera Pillai</v>
      </c>
      <c r="B29" s="4">
        <f>'Raw Data'!B29</f>
        <v>615</v>
      </c>
      <c r="C29" s="4">
        <f>'Raw Data'!E29</f>
        <v>3</v>
      </c>
      <c r="D29" s="5">
        <f>'Raw Data'!F29</f>
        <v>715000</v>
      </c>
      <c r="E29" s="4" t="str">
        <f t="shared" si="0"/>
        <v>Moderate</v>
      </c>
      <c r="F29" s="7" t="str">
        <f t="shared" si="1"/>
        <v>Personalized product recommendations</v>
      </c>
    </row>
    <row r="30" spans="1:6" ht="24" customHeight="1" x14ac:dyDescent="0.35">
      <c r="A30" s="2" t="str">
        <f>'Raw Data'!A30</f>
        <v>Neil Fernandes</v>
      </c>
      <c r="B30" s="2">
        <f>'Raw Data'!B30</f>
        <v>643</v>
      </c>
      <c r="C30" s="2">
        <f>'Raw Data'!E30</f>
        <v>8</v>
      </c>
      <c r="D30" s="3">
        <f>'Raw Data'!F30</f>
        <v>1245000</v>
      </c>
      <c r="E30" s="2" t="str">
        <f t="shared" si="0"/>
        <v>Moderate</v>
      </c>
      <c r="F30" s="6" t="str">
        <f t="shared" si="1"/>
        <v>Personalized product recommendations</v>
      </c>
    </row>
    <row r="31" spans="1:6" ht="24" customHeight="1" x14ac:dyDescent="0.35">
      <c r="A31" s="4" t="str">
        <f>'Raw Data'!A31</f>
        <v>Tara Kulkarni</v>
      </c>
      <c r="B31" s="4">
        <f>'Raw Data'!B31</f>
        <v>736</v>
      </c>
      <c r="C31" s="4">
        <f>'Raw Data'!E31</f>
        <v>4</v>
      </c>
      <c r="D31" s="5">
        <f>'Raw Data'!F31</f>
        <v>445000</v>
      </c>
      <c r="E31" s="4" t="str">
        <f t="shared" si="0"/>
        <v>Moderate</v>
      </c>
      <c r="F31" s="7" t="str">
        <f t="shared" si="1"/>
        <v>Personalized product recommendations</v>
      </c>
    </row>
    <row r="32" spans="1:6" ht="24" customHeight="1" x14ac:dyDescent="0.35">
      <c r="A32" s="2" t="str">
        <f>'Raw Data'!A32</f>
        <v>Rudra Bose</v>
      </c>
      <c r="B32" s="2">
        <f>'Raw Data'!B32</f>
        <v>826</v>
      </c>
      <c r="C32" s="2">
        <f>'Raw Data'!E32</f>
        <v>10</v>
      </c>
      <c r="D32" s="3">
        <f>'Raw Data'!F32</f>
        <v>465000</v>
      </c>
      <c r="E32" s="2" t="str">
        <f t="shared" si="0"/>
        <v>High</v>
      </c>
      <c r="F32" s="6" t="str">
        <f t="shared" si="1"/>
        <v>Offer premium products / loyalty benefits</v>
      </c>
    </row>
    <row r="33" spans="1:6" ht="24" customHeight="1" x14ac:dyDescent="0.35">
      <c r="A33" s="4" t="str">
        <f>'Raw Data'!A33</f>
        <v>Zoya Sheikh</v>
      </c>
      <c r="B33" s="4">
        <f>'Raw Data'!B33</f>
        <v>557</v>
      </c>
      <c r="C33" s="4">
        <f>'Raw Data'!E33</f>
        <v>18</v>
      </c>
      <c r="D33" s="5">
        <f>'Raw Data'!F33</f>
        <v>1175000</v>
      </c>
      <c r="E33" s="4" t="str">
        <f t="shared" si="0"/>
        <v>Needs Attention</v>
      </c>
      <c r="F33" s="7" t="str">
        <f t="shared" si="1"/>
        <v>Proactive support and financial wellness</v>
      </c>
    </row>
    <row r="34" spans="1:6" ht="24" customHeight="1" x14ac:dyDescent="0.35">
      <c r="A34" s="2" t="str">
        <f>'Raw Data'!A34</f>
        <v>Kian Oberoi</v>
      </c>
      <c r="B34" s="2">
        <f>'Raw Data'!B34</f>
        <v>678</v>
      </c>
      <c r="C34" s="2">
        <f>'Raw Data'!E34</f>
        <v>9</v>
      </c>
      <c r="D34" s="3">
        <f>'Raw Data'!F34</f>
        <v>2420000</v>
      </c>
      <c r="E34" s="2" t="str">
        <f t="shared" ref="E34:E51" si="2">IF(AND(B34&gt;=750,C34&gt;=5,D34&gt;=100000),"High",IF(OR(B34&lt;600,C34&lt;=2),"Needs Attention","Moderate"))</f>
        <v>Moderate</v>
      </c>
      <c r="F34" s="6" t="str">
        <f t="shared" ref="F34:F51" si="3">IF(E34="High","Offer premium products / loyalty benefits",IF(E34="Needs Attention","Proactive support and financial wellness","Personalized product recommendations"))</f>
        <v>Personalized product recommendations</v>
      </c>
    </row>
    <row r="35" spans="1:6" ht="24" customHeight="1" x14ac:dyDescent="0.35">
      <c r="A35" s="4" t="str">
        <f>'Raw Data'!A35</f>
        <v>Riya Menon</v>
      </c>
      <c r="B35" s="4">
        <f>'Raw Data'!B35</f>
        <v>612</v>
      </c>
      <c r="C35" s="4">
        <f>'Raw Data'!E35</f>
        <v>16</v>
      </c>
      <c r="D35" s="5">
        <f>'Raw Data'!F35</f>
        <v>905000</v>
      </c>
      <c r="E35" s="4" t="str">
        <f t="shared" si="2"/>
        <v>Moderate</v>
      </c>
      <c r="F35" s="7" t="str">
        <f t="shared" si="3"/>
        <v>Personalized product recommendations</v>
      </c>
    </row>
    <row r="36" spans="1:6" ht="24" customHeight="1" x14ac:dyDescent="0.35">
      <c r="A36" s="2" t="str">
        <f>'Raw Data'!A36</f>
        <v>Om Prakash</v>
      </c>
      <c r="B36" s="2">
        <f>'Raw Data'!B36</f>
        <v>846</v>
      </c>
      <c r="C36" s="2">
        <f>'Raw Data'!E36</f>
        <v>2</v>
      </c>
      <c r="D36" s="3">
        <f>'Raw Data'!F36</f>
        <v>1530000</v>
      </c>
      <c r="E36" s="2" t="str">
        <f t="shared" si="2"/>
        <v>Needs Attention</v>
      </c>
      <c r="F36" s="6" t="str">
        <f t="shared" si="3"/>
        <v>Proactive support and financial wellness</v>
      </c>
    </row>
    <row r="37" spans="1:6" ht="24" customHeight="1" x14ac:dyDescent="0.35">
      <c r="A37" s="4" t="str">
        <f>'Raw Data'!A37</f>
        <v>Aisha Qureshi</v>
      </c>
      <c r="B37" s="4">
        <f>'Raw Data'!B37</f>
        <v>627</v>
      </c>
      <c r="C37" s="4">
        <f>'Raw Data'!E37</f>
        <v>3</v>
      </c>
      <c r="D37" s="5">
        <f>'Raw Data'!F37</f>
        <v>65000</v>
      </c>
      <c r="E37" s="4" t="str">
        <f t="shared" si="2"/>
        <v>Moderate</v>
      </c>
      <c r="F37" s="7" t="str">
        <f t="shared" si="3"/>
        <v>Personalized product recommendations</v>
      </c>
    </row>
    <row r="38" spans="1:6" ht="24" customHeight="1" x14ac:dyDescent="0.35">
      <c r="A38" s="2" t="str">
        <f>'Raw Data'!A38</f>
        <v>Manav Tripathi</v>
      </c>
      <c r="B38" s="2">
        <f>'Raw Data'!B38</f>
        <v>845</v>
      </c>
      <c r="C38" s="2">
        <f>'Raw Data'!E38</f>
        <v>18</v>
      </c>
      <c r="D38" s="3">
        <f>'Raw Data'!F38</f>
        <v>180000</v>
      </c>
      <c r="E38" s="2" t="str">
        <f t="shared" si="2"/>
        <v>High</v>
      </c>
      <c r="F38" s="6" t="str">
        <f t="shared" si="3"/>
        <v>Offer premium products / loyalty benefits</v>
      </c>
    </row>
    <row r="39" spans="1:6" ht="24" customHeight="1" x14ac:dyDescent="0.35">
      <c r="A39" s="4" t="str">
        <f>'Raw Data'!A39</f>
        <v>Lavanya Ghosh</v>
      </c>
      <c r="B39" s="4">
        <f>'Raw Data'!B39</f>
        <v>791</v>
      </c>
      <c r="C39" s="4">
        <f>'Raw Data'!E39</f>
        <v>7</v>
      </c>
      <c r="D39" s="5">
        <f>'Raw Data'!F39</f>
        <v>1375000</v>
      </c>
      <c r="E39" s="4" t="str">
        <f t="shared" si="2"/>
        <v>High</v>
      </c>
      <c r="F39" s="7" t="str">
        <f t="shared" si="3"/>
        <v>Offer premium products / loyalty benefits</v>
      </c>
    </row>
    <row r="40" spans="1:6" ht="24" customHeight="1" x14ac:dyDescent="0.35">
      <c r="A40" s="2" t="str">
        <f>'Raw Data'!A40</f>
        <v>Shaurya Yadav</v>
      </c>
      <c r="B40" s="2">
        <f>'Raw Data'!B40</f>
        <v>616</v>
      </c>
      <c r="C40" s="2">
        <f>'Raw Data'!E40</f>
        <v>7</v>
      </c>
      <c r="D40" s="3">
        <f>'Raw Data'!F40</f>
        <v>2325000</v>
      </c>
      <c r="E40" s="2" t="str">
        <f t="shared" si="2"/>
        <v>Moderate</v>
      </c>
      <c r="F40" s="6" t="str">
        <f t="shared" si="3"/>
        <v>Personalized product recommendations</v>
      </c>
    </row>
    <row r="41" spans="1:6" ht="24" customHeight="1" x14ac:dyDescent="0.35">
      <c r="A41" s="4" t="str">
        <f>'Raw Data'!A41</f>
        <v>Naina Roy</v>
      </c>
      <c r="B41" s="4">
        <f>'Raw Data'!B41</f>
        <v>759</v>
      </c>
      <c r="C41" s="4">
        <f>'Raw Data'!E41</f>
        <v>13</v>
      </c>
      <c r="D41" s="5">
        <f>'Raw Data'!F41</f>
        <v>1285000</v>
      </c>
      <c r="E41" s="4" t="str">
        <f t="shared" si="2"/>
        <v>High</v>
      </c>
      <c r="F41" s="7" t="str">
        <f t="shared" si="3"/>
        <v>Offer premium products / loyalty benefits</v>
      </c>
    </row>
    <row r="42" spans="1:6" ht="24" customHeight="1" x14ac:dyDescent="0.35">
      <c r="A42" s="2" t="str">
        <f>'Raw Data'!A42</f>
        <v>Parth Bhatt</v>
      </c>
      <c r="B42" s="2">
        <f>'Raw Data'!B42</f>
        <v>786</v>
      </c>
      <c r="C42" s="2">
        <f>'Raw Data'!E42</f>
        <v>15</v>
      </c>
      <c r="D42" s="3">
        <f>'Raw Data'!F42</f>
        <v>2330000</v>
      </c>
      <c r="E42" s="2" t="str">
        <f t="shared" si="2"/>
        <v>High</v>
      </c>
      <c r="F42" s="6" t="str">
        <f t="shared" si="3"/>
        <v>Offer premium products / loyalty benefits</v>
      </c>
    </row>
    <row r="43" spans="1:6" ht="24" customHeight="1" x14ac:dyDescent="0.35">
      <c r="A43" s="4" t="str">
        <f>'Raw Data'!A43</f>
        <v>Mira Thomas</v>
      </c>
      <c r="B43" s="4">
        <f>'Raw Data'!B43</f>
        <v>587</v>
      </c>
      <c r="C43" s="4">
        <f>'Raw Data'!E43</f>
        <v>5</v>
      </c>
      <c r="D43" s="5">
        <f>'Raw Data'!F43</f>
        <v>125000</v>
      </c>
      <c r="E43" s="4" t="str">
        <f t="shared" si="2"/>
        <v>Needs Attention</v>
      </c>
      <c r="F43" s="7" t="str">
        <f t="shared" si="3"/>
        <v>Proactive support and financial wellness</v>
      </c>
    </row>
    <row r="44" spans="1:6" ht="24" customHeight="1" x14ac:dyDescent="0.35">
      <c r="A44" s="2" t="str">
        <f>'Raw Data'!A44</f>
        <v>Samar Choudhary</v>
      </c>
      <c r="B44" s="2">
        <f>'Raw Data'!B44</f>
        <v>561</v>
      </c>
      <c r="C44" s="2">
        <f>'Raw Data'!E44</f>
        <v>16</v>
      </c>
      <c r="D44" s="3">
        <f>'Raw Data'!F44</f>
        <v>1020000</v>
      </c>
      <c r="E44" s="2" t="str">
        <f t="shared" si="2"/>
        <v>Needs Attention</v>
      </c>
      <c r="F44" s="6" t="str">
        <f t="shared" si="3"/>
        <v>Proactive support and financial wellness</v>
      </c>
    </row>
    <row r="45" spans="1:6" ht="24" customHeight="1" x14ac:dyDescent="0.35">
      <c r="A45" s="4" t="str">
        <f>'Raw Data'!A45</f>
        <v>Ira Mukherjee</v>
      </c>
      <c r="B45" s="4">
        <f>'Raw Data'!B45</f>
        <v>767</v>
      </c>
      <c r="C45" s="4">
        <f>'Raw Data'!E45</f>
        <v>18</v>
      </c>
      <c r="D45" s="5">
        <f>'Raw Data'!F45</f>
        <v>2195000</v>
      </c>
      <c r="E45" s="4" t="str">
        <f t="shared" si="2"/>
        <v>High</v>
      </c>
      <c r="F45" s="7" t="str">
        <f t="shared" si="3"/>
        <v>Offer premium products / loyalty benefits</v>
      </c>
    </row>
    <row r="46" spans="1:6" ht="24" customHeight="1" x14ac:dyDescent="0.35">
      <c r="A46" s="2" t="str">
        <f>'Raw Data'!A46</f>
        <v>Ayaan Gill</v>
      </c>
      <c r="B46" s="2">
        <f>'Raw Data'!B46</f>
        <v>769</v>
      </c>
      <c r="C46" s="2">
        <f>'Raw Data'!E46</f>
        <v>9</v>
      </c>
      <c r="D46" s="3">
        <f>'Raw Data'!F46</f>
        <v>330000</v>
      </c>
      <c r="E46" s="2" t="str">
        <f t="shared" si="2"/>
        <v>High</v>
      </c>
      <c r="F46" s="6" t="str">
        <f t="shared" si="3"/>
        <v>Offer premium products / loyalty benefits</v>
      </c>
    </row>
    <row r="47" spans="1:6" ht="24" customHeight="1" x14ac:dyDescent="0.35">
      <c r="A47" s="4" t="str">
        <f>'Raw Data'!A47</f>
        <v>Kavya Narang</v>
      </c>
      <c r="B47" s="4">
        <f>'Raw Data'!B47</f>
        <v>717</v>
      </c>
      <c r="C47" s="4">
        <f>'Raw Data'!E47</f>
        <v>13</v>
      </c>
      <c r="D47" s="5">
        <f>'Raw Data'!F47</f>
        <v>1715000</v>
      </c>
      <c r="E47" s="4" t="str">
        <f t="shared" si="2"/>
        <v>Moderate</v>
      </c>
      <c r="F47" s="7" t="str">
        <f t="shared" si="3"/>
        <v>Personalized product recommendations</v>
      </c>
    </row>
    <row r="48" spans="1:6" ht="24" customHeight="1" x14ac:dyDescent="0.35">
      <c r="A48" s="2" t="str">
        <f>'Raw Data'!A48</f>
        <v>Vihaan Dutta</v>
      </c>
      <c r="B48" s="2">
        <f>'Raw Data'!B48</f>
        <v>617</v>
      </c>
      <c r="C48" s="2">
        <f>'Raw Data'!E48</f>
        <v>2</v>
      </c>
      <c r="D48" s="3">
        <f>'Raw Data'!F48</f>
        <v>1905000</v>
      </c>
      <c r="E48" s="2" t="str">
        <f t="shared" si="2"/>
        <v>Needs Attention</v>
      </c>
      <c r="F48" s="6" t="str">
        <f t="shared" si="3"/>
        <v>Proactive support and financial wellness</v>
      </c>
    </row>
    <row r="49" spans="1:6" ht="24" customHeight="1" x14ac:dyDescent="0.35">
      <c r="A49" s="4" t="str">
        <f>'Raw Data'!A49</f>
        <v>Tanvi Puri</v>
      </c>
      <c r="B49" s="4">
        <f>'Raw Data'!B49</f>
        <v>767</v>
      </c>
      <c r="C49" s="4">
        <f>'Raw Data'!E49</f>
        <v>14</v>
      </c>
      <c r="D49" s="5">
        <f>'Raw Data'!F49</f>
        <v>1165000</v>
      </c>
      <c r="E49" s="4" t="str">
        <f t="shared" si="2"/>
        <v>High</v>
      </c>
      <c r="F49" s="7" t="str">
        <f t="shared" si="3"/>
        <v>Offer premium products / loyalty benefits</v>
      </c>
    </row>
    <row r="50" spans="1:6" ht="24" customHeight="1" x14ac:dyDescent="0.35">
      <c r="A50" s="2" t="str">
        <f>'Raw Data'!A50</f>
        <v>Aryan Sethi</v>
      </c>
      <c r="B50" s="2">
        <f>'Raw Data'!B50</f>
        <v>706</v>
      </c>
      <c r="C50" s="2">
        <f>'Raw Data'!E50</f>
        <v>10</v>
      </c>
      <c r="D50" s="3">
        <f>'Raw Data'!F50</f>
        <v>390000</v>
      </c>
      <c r="E50" s="2" t="str">
        <f t="shared" si="2"/>
        <v>Moderate</v>
      </c>
      <c r="F50" s="6" t="str">
        <f t="shared" si="3"/>
        <v>Personalized product recommendations</v>
      </c>
    </row>
    <row r="51" spans="1:6" ht="24" customHeight="1" x14ac:dyDescent="0.35">
      <c r="A51" s="4" t="str">
        <f>'Raw Data'!A51</f>
        <v>Shreya Banerjee</v>
      </c>
      <c r="B51" s="4">
        <f>'Raw Data'!B51</f>
        <v>612</v>
      </c>
      <c r="C51" s="4">
        <f>'Raw Data'!E51</f>
        <v>17</v>
      </c>
      <c r="D51" s="5">
        <f>'Raw Data'!F51</f>
        <v>90000</v>
      </c>
      <c r="E51" s="4" t="str">
        <f t="shared" si="2"/>
        <v>Moderate</v>
      </c>
      <c r="F51" s="7" t="str">
        <f t="shared" si="3"/>
        <v>Personalized product recommendations</v>
      </c>
    </row>
  </sheetData>
  <autoFilter ref="A1:F51"/>
  <conditionalFormatting sqref="E2: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showGridLines="0" workbookViewId="0">
      <pane ySplit="1" topLeftCell="A39" activePane="bottomLeft" state="frozen"/>
      <selection pane="bottomLeft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17" customWidth="1"/>
    <col min="5" max="5" width="14" customWidth="1"/>
    <col min="6" max="6" width="18" customWidth="1"/>
    <col min="7" max="7" width="16" customWidth="1"/>
    <col min="8" max="8" width="20" customWidth="1"/>
  </cols>
  <sheetData>
    <row r="1" spans="1:8" ht="34" customHeight="1" x14ac:dyDescent="0.3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 ht="24" customHeight="1" x14ac:dyDescent="0.35">
      <c r="A2" s="2" t="str">
        <f>'Raw Data'!A2</f>
        <v>Aarav Sharma</v>
      </c>
      <c r="B2" s="8">
        <v>1</v>
      </c>
      <c r="C2" s="8">
        <v>1</v>
      </c>
      <c r="D2" s="8">
        <v>0</v>
      </c>
      <c r="E2" s="8">
        <v>1</v>
      </c>
      <c r="F2" s="8">
        <v>1</v>
      </c>
      <c r="G2" s="2">
        <f t="shared" ref="G2:G33" si="0">SUM(B2:F2)</f>
        <v>4</v>
      </c>
      <c r="H2" s="2" t="str">
        <f t="shared" ref="H2:H33" si="1">IF(G2&gt;=4,"Multi-product",IF(G2&gt;=2,"Moderate use","Low use"))</f>
        <v>Multi-product</v>
      </c>
    </row>
    <row r="3" spans="1:8" ht="24" customHeight="1" x14ac:dyDescent="0.35">
      <c r="A3" s="4" t="str">
        <f>'Raw Data'!A3</f>
        <v>Ananya Verma</v>
      </c>
      <c r="B3" s="9">
        <v>1</v>
      </c>
      <c r="C3" s="9">
        <v>1</v>
      </c>
      <c r="D3" s="9">
        <v>0</v>
      </c>
      <c r="E3" s="9">
        <v>0</v>
      </c>
      <c r="F3" s="9">
        <v>1</v>
      </c>
      <c r="G3" s="4">
        <f t="shared" si="0"/>
        <v>3</v>
      </c>
      <c r="H3" s="4" t="str">
        <f t="shared" si="1"/>
        <v>Moderate use</v>
      </c>
    </row>
    <row r="4" spans="1:8" ht="24" customHeight="1" x14ac:dyDescent="0.35">
      <c r="A4" s="2" t="str">
        <f>'Raw Data'!A4</f>
        <v>Vivaan Gupta</v>
      </c>
      <c r="B4" s="8">
        <v>1</v>
      </c>
      <c r="C4" s="8">
        <v>0</v>
      </c>
      <c r="D4" s="8">
        <v>1</v>
      </c>
      <c r="E4" s="8">
        <v>0</v>
      </c>
      <c r="F4" s="8">
        <v>0</v>
      </c>
      <c r="G4" s="2">
        <f t="shared" si="0"/>
        <v>2</v>
      </c>
      <c r="H4" s="2" t="str">
        <f t="shared" si="1"/>
        <v>Moderate use</v>
      </c>
    </row>
    <row r="5" spans="1:8" ht="24" customHeight="1" x14ac:dyDescent="0.35">
      <c r="A5" s="4" t="str">
        <f>'Raw Data'!A5</f>
        <v>Diya Singh</v>
      </c>
      <c r="B5" s="9">
        <v>1</v>
      </c>
      <c r="C5" s="9">
        <v>1</v>
      </c>
      <c r="D5" s="9">
        <v>1</v>
      </c>
      <c r="E5" s="9">
        <v>0</v>
      </c>
      <c r="F5" s="9">
        <v>1</v>
      </c>
      <c r="G5" s="4">
        <f t="shared" si="0"/>
        <v>4</v>
      </c>
      <c r="H5" s="4" t="str">
        <f t="shared" si="1"/>
        <v>Multi-product</v>
      </c>
    </row>
    <row r="6" spans="1:8" ht="24" customHeight="1" x14ac:dyDescent="0.35">
      <c r="A6" s="2" t="str">
        <f>'Raw Data'!A6</f>
        <v>Aditya Mehta</v>
      </c>
      <c r="B6" s="8">
        <v>0</v>
      </c>
      <c r="C6" s="8">
        <v>0</v>
      </c>
      <c r="D6" s="8">
        <v>1</v>
      </c>
      <c r="E6" s="8">
        <v>0</v>
      </c>
      <c r="F6" s="8">
        <v>1</v>
      </c>
      <c r="G6" s="2">
        <f t="shared" si="0"/>
        <v>2</v>
      </c>
      <c r="H6" s="2" t="str">
        <f t="shared" si="1"/>
        <v>Moderate use</v>
      </c>
    </row>
    <row r="7" spans="1:8" ht="24" customHeight="1" x14ac:dyDescent="0.35">
      <c r="A7" s="4" t="str">
        <f>'Raw Data'!A7</f>
        <v>Ishita Patel</v>
      </c>
      <c r="B7" s="9">
        <v>1</v>
      </c>
      <c r="C7" s="9">
        <v>0</v>
      </c>
      <c r="D7" s="9">
        <v>1</v>
      </c>
      <c r="E7" s="9">
        <v>0</v>
      </c>
      <c r="F7" s="9">
        <v>1</v>
      </c>
      <c r="G7" s="4">
        <f t="shared" si="0"/>
        <v>3</v>
      </c>
      <c r="H7" s="4" t="str">
        <f t="shared" si="1"/>
        <v>Moderate use</v>
      </c>
    </row>
    <row r="8" spans="1:8" ht="24" customHeight="1" x14ac:dyDescent="0.35">
      <c r="A8" s="2" t="str">
        <f>'Raw Data'!A8</f>
        <v>Arjun Kumar</v>
      </c>
      <c r="B8" s="8">
        <v>1</v>
      </c>
      <c r="C8" s="8">
        <v>1</v>
      </c>
      <c r="D8" s="8">
        <v>0</v>
      </c>
      <c r="E8" s="8">
        <v>0</v>
      </c>
      <c r="F8" s="8">
        <v>1</v>
      </c>
      <c r="G8" s="2">
        <f t="shared" si="0"/>
        <v>3</v>
      </c>
      <c r="H8" s="2" t="str">
        <f t="shared" si="1"/>
        <v>Moderate use</v>
      </c>
    </row>
    <row r="9" spans="1:8" ht="24" customHeight="1" x14ac:dyDescent="0.35">
      <c r="A9" s="4" t="str">
        <f>'Raw Data'!A9</f>
        <v>Saanvi Joshi</v>
      </c>
      <c r="B9" s="9">
        <v>0</v>
      </c>
      <c r="C9" s="9">
        <v>1</v>
      </c>
      <c r="D9" s="9">
        <v>0</v>
      </c>
      <c r="E9" s="9">
        <v>0</v>
      </c>
      <c r="F9" s="9">
        <v>1</v>
      </c>
      <c r="G9" s="4">
        <f t="shared" si="0"/>
        <v>2</v>
      </c>
      <c r="H9" s="4" t="str">
        <f t="shared" si="1"/>
        <v>Moderate use</v>
      </c>
    </row>
    <row r="10" spans="1:8" ht="24" customHeight="1" x14ac:dyDescent="0.35">
      <c r="A10" s="2" t="str">
        <f>'Raw Data'!A10</f>
        <v>Reyansh Malhotra</v>
      </c>
      <c r="B10" s="8">
        <v>1</v>
      </c>
      <c r="C10" s="8">
        <v>1</v>
      </c>
      <c r="D10" s="8">
        <v>1</v>
      </c>
      <c r="E10" s="8">
        <v>0</v>
      </c>
      <c r="F10" s="8">
        <v>1</v>
      </c>
      <c r="G10" s="2">
        <f t="shared" si="0"/>
        <v>4</v>
      </c>
      <c r="H10" s="2" t="str">
        <f t="shared" si="1"/>
        <v>Multi-product</v>
      </c>
    </row>
    <row r="11" spans="1:8" ht="24" customHeight="1" x14ac:dyDescent="0.35">
      <c r="A11" s="4" t="str">
        <f>'Raw Data'!A11</f>
        <v>Aadhya Jain</v>
      </c>
      <c r="B11" s="9">
        <v>1</v>
      </c>
      <c r="C11" s="9">
        <v>0</v>
      </c>
      <c r="D11" s="9">
        <v>1</v>
      </c>
      <c r="E11" s="9">
        <v>0</v>
      </c>
      <c r="F11" s="9">
        <v>1</v>
      </c>
      <c r="G11" s="4">
        <f t="shared" si="0"/>
        <v>3</v>
      </c>
      <c r="H11" s="4" t="str">
        <f t="shared" si="1"/>
        <v>Moderate use</v>
      </c>
    </row>
    <row r="12" spans="1:8" ht="24" customHeight="1" x14ac:dyDescent="0.35">
      <c r="A12" s="2" t="str">
        <f>'Raw Data'!A12</f>
        <v>Krishna Reddy</v>
      </c>
      <c r="B12" s="8">
        <v>1</v>
      </c>
      <c r="C12" s="8">
        <v>0</v>
      </c>
      <c r="D12" s="8">
        <v>0</v>
      </c>
      <c r="E12" s="8">
        <v>0</v>
      </c>
      <c r="F12" s="8">
        <v>1</v>
      </c>
      <c r="G12" s="2">
        <f t="shared" si="0"/>
        <v>2</v>
      </c>
      <c r="H12" s="2" t="str">
        <f t="shared" si="1"/>
        <v>Moderate use</v>
      </c>
    </row>
    <row r="13" spans="1:8" ht="24" customHeight="1" x14ac:dyDescent="0.35">
      <c r="A13" s="4" t="str">
        <f>'Raw Data'!A13</f>
        <v>Myra Kapoor</v>
      </c>
      <c r="B13" s="9">
        <v>1</v>
      </c>
      <c r="C13" s="9">
        <v>1</v>
      </c>
      <c r="D13" s="9">
        <v>0</v>
      </c>
      <c r="E13" s="9">
        <v>0</v>
      </c>
      <c r="F13" s="9">
        <v>1</v>
      </c>
      <c r="G13" s="4">
        <f t="shared" si="0"/>
        <v>3</v>
      </c>
      <c r="H13" s="4" t="str">
        <f t="shared" si="1"/>
        <v>Moderate use</v>
      </c>
    </row>
    <row r="14" spans="1:8" ht="24" customHeight="1" x14ac:dyDescent="0.35">
      <c r="A14" s="2" t="str">
        <f>'Raw Data'!A14</f>
        <v>Ishaan Das</v>
      </c>
      <c r="B14" s="8">
        <v>1</v>
      </c>
      <c r="C14" s="8">
        <v>1</v>
      </c>
      <c r="D14" s="8">
        <v>0</v>
      </c>
      <c r="E14" s="8">
        <v>0</v>
      </c>
      <c r="F14" s="8">
        <v>1</v>
      </c>
      <c r="G14" s="2">
        <f t="shared" si="0"/>
        <v>3</v>
      </c>
      <c r="H14" s="2" t="str">
        <f t="shared" si="1"/>
        <v>Moderate use</v>
      </c>
    </row>
    <row r="15" spans="1:8" ht="24" customHeight="1" x14ac:dyDescent="0.35">
      <c r="A15" s="4" t="str">
        <f>'Raw Data'!A15</f>
        <v>Pari Agarwal</v>
      </c>
      <c r="B15" s="9">
        <v>1</v>
      </c>
      <c r="C15" s="9">
        <v>0</v>
      </c>
      <c r="D15" s="9">
        <v>0</v>
      </c>
      <c r="E15" s="9">
        <v>0</v>
      </c>
      <c r="F15" s="9">
        <v>1</v>
      </c>
      <c r="G15" s="4">
        <f t="shared" si="0"/>
        <v>2</v>
      </c>
      <c r="H15" s="4" t="str">
        <f t="shared" si="1"/>
        <v>Moderate use</v>
      </c>
    </row>
    <row r="16" spans="1:8" ht="24" customHeight="1" x14ac:dyDescent="0.35">
      <c r="A16" s="2" t="str">
        <f>'Raw Data'!A16</f>
        <v>Kabir Nair</v>
      </c>
      <c r="B16" s="8">
        <v>1</v>
      </c>
      <c r="C16" s="8">
        <v>1</v>
      </c>
      <c r="D16" s="8">
        <v>0</v>
      </c>
      <c r="E16" s="8">
        <v>1</v>
      </c>
      <c r="F16" s="8">
        <v>1</v>
      </c>
      <c r="G16" s="2">
        <f t="shared" si="0"/>
        <v>4</v>
      </c>
      <c r="H16" s="2" t="str">
        <f t="shared" si="1"/>
        <v>Multi-product</v>
      </c>
    </row>
    <row r="17" spans="1:8" ht="24" customHeight="1" x14ac:dyDescent="0.35">
      <c r="A17" s="4" t="str">
        <f>'Raw Data'!A17</f>
        <v>Navya Chawla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4">
        <f t="shared" si="0"/>
        <v>1</v>
      </c>
      <c r="H17" s="4" t="str">
        <f t="shared" si="1"/>
        <v>Low use</v>
      </c>
    </row>
    <row r="18" spans="1:8" ht="24" customHeight="1" x14ac:dyDescent="0.35">
      <c r="A18" s="2" t="str">
        <f>'Raw Data'!A18</f>
        <v>Rohan Bansal</v>
      </c>
      <c r="B18" s="8">
        <v>1</v>
      </c>
      <c r="C18" s="8">
        <v>1</v>
      </c>
      <c r="D18" s="8">
        <v>1</v>
      </c>
      <c r="E18" s="8">
        <v>0</v>
      </c>
      <c r="F18" s="8">
        <v>1</v>
      </c>
      <c r="G18" s="2">
        <f t="shared" si="0"/>
        <v>4</v>
      </c>
      <c r="H18" s="2" t="str">
        <f t="shared" si="1"/>
        <v>Multi-product</v>
      </c>
    </row>
    <row r="19" spans="1:8" ht="24" customHeight="1" x14ac:dyDescent="0.35">
      <c r="A19" s="4" t="str">
        <f>'Raw Data'!A19</f>
        <v>Kiara Iyer</v>
      </c>
      <c r="B19" s="9">
        <v>0</v>
      </c>
      <c r="C19" s="9">
        <v>1</v>
      </c>
      <c r="D19" s="9">
        <v>1</v>
      </c>
      <c r="E19" s="9">
        <v>0</v>
      </c>
      <c r="F19" s="9">
        <v>1</v>
      </c>
      <c r="G19" s="4">
        <f t="shared" si="0"/>
        <v>3</v>
      </c>
      <c r="H19" s="4" t="str">
        <f t="shared" si="1"/>
        <v>Moderate use</v>
      </c>
    </row>
    <row r="20" spans="1:8" ht="24" customHeight="1" x14ac:dyDescent="0.35">
      <c r="A20" s="2" t="str">
        <f>'Raw Data'!A20</f>
        <v>Dhruv Saxena</v>
      </c>
      <c r="B20" s="8">
        <v>1</v>
      </c>
      <c r="C20" s="8">
        <v>1</v>
      </c>
      <c r="D20" s="8">
        <v>0</v>
      </c>
      <c r="E20" s="8">
        <v>0</v>
      </c>
      <c r="F20" s="8">
        <v>1</v>
      </c>
      <c r="G20" s="2">
        <f t="shared" si="0"/>
        <v>3</v>
      </c>
      <c r="H20" s="2" t="str">
        <f t="shared" si="1"/>
        <v>Moderate use</v>
      </c>
    </row>
    <row r="21" spans="1:8" ht="24" customHeight="1" x14ac:dyDescent="0.35">
      <c r="A21" s="4" t="str">
        <f>'Raw Data'!A21</f>
        <v>Aanya Mishra</v>
      </c>
      <c r="B21" s="9">
        <v>0</v>
      </c>
      <c r="C21" s="9">
        <v>0</v>
      </c>
      <c r="D21" s="9">
        <v>0</v>
      </c>
      <c r="E21" s="9">
        <v>0</v>
      </c>
      <c r="F21" s="9">
        <v>1</v>
      </c>
      <c r="G21" s="4">
        <f t="shared" si="0"/>
        <v>1</v>
      </c>
      <c r="H21" s="4" t="str">
        <f t="shared" si="1"/>
        <v>Low use</v>
      </c>
    </row>
    <row r="22" spans="1:8" ht="24" customHeight="1" x14ac:dyDescent="0.35">
      <c r="A22" s="2" t="str">
        <f>'Raw Data'!A22</f>
        <v>Yash Thakur</v>
      </c>
      <c r="B22" s="8">
        <v>1</v>
      </c>
      <c r="C22" s="8">
        <v>0</v>
      </c>
      <c r="D22" s="8">
        <v>0</v>
      </c>
      <c r="E22" s="8">
        <v>1</v>
      </c>
      <c r="F22" s="8">
        <v>1</v>
      </c>
      <c r="G22" s="2">
        <f t="shared" si="0"/>
        <v>3</v>
      </c>
      <c r="H22" s="2" t="str">
        <f t="shared" si="1"/>
        <v>Moderate use</v>
      </c>
    </row>
    <row r="23" spans="1:8" ht="24" customHeight="1" x14ac:dyDescent="0.35">
      <c r="A23" s="4" t="str">
        <f>'Raw Data'!A23</f>
        <v>Sara Khan</v>
      </c>
      <c r="B23" s="9">
        <v>1</v>
      </c>
      <c r="C23" s="9">
        <v>0</v>
      </c>
      <c r="D23" s="9">
        <v>0</v>
      </c>
      <c r="E23" s="9">
        <v>0</v>
      </c>
      <c r="F23" s="9">
        <v>1</v>
      </c>
      <c r="G23" s="4">
        <f t="shared" si="0"/>
        <v>2</v>
      </c>
      <c r="H23" s="4" t="str">
        <f t="shared" si="1"/>
        <v>Moderate use</v>
      </c>
    </row>
    <row r="24" spans="1:8" ht="24" customHeight="1" x14ac:dyDescent="0.35">
      <c r="A24" s="2" t="str">
        <f>'Raw Data'!A24</f>
        <v>Atharv Desai</v>
      </c>
      <c r="B24" s="8">
        <v>1</v>
      </c>
      <c r="C24" s="8">
        <v>1</v>
      </c>
      <c r="D24" s="8">
        <v>0</v>
      </c>
      <c r="E24" s="8">
        <v>0</v>
      </c>
      <c r="F24" s="8">
        <v>0</v>
      </c>
      <c r="G24" s="2">
        <f t="shared" si="0"/>
        <v>2</v>
      </c>
      <c r="H24" s="2" t="str">
        <f t="shared" si="1"/>
        <v>Moderate use</v>
      </c>
    </row>
    <row r="25" spans="1:8" ht="24" customHeight="1" x14ac:dyDescent="0.35">
      <c r="A25" s="4" t="str">
        <f>'Raw Data'!A25</f>
        <v>Prisha Sinha</v>
      </c>
      <c r="B25" s="9">
        <v>1</v>
      </c>
      <c r="C25" s="9">
        <v>1</v>
      </c>
      <c r="D25" s="9">
        <v>1</v>
      </c>
      <c r="E25" s="9">
        <v>0</v>
      </c>
      <c r="F25" s="9">
        <v>0</v>
      </c>
      <c r="G25" s="4">
        <f t="shared" si="0"/>
        <v>3</v>
      </c>
      <c r="H25" s="4" t="str">
        <f t="shared" si="1"/>
        <v>Moderate use</v>
      </c>
    </row>
    <row r="26" spans="1:8" ht="24" customHeight="1" x14ac:dyDescent="0.35">
      <c r="A26" s="2" t="str">
        <f>'Raw Data'!A26</f>
        <v>Veer Khanna</v>
      </c>
      <c r="B26" s="8">
        <v>0</v>
      </c>
      <c r="C26" s="8">
        <v>1</v>
      </c>
      <c r="D26" s="8">
        <v>0</v>
      </c>
      <c r="E26" s="8">
        <v>0</v>
      </c>
      <c r="F26" s="8">
        <v>1</v>
      </c>
      <c r="G26" s="2">
        <f t="shared" si="0"/>
        <v>2</v>
      </c>
      <c r="H26" s="2" t="str">
        <f t="shared" si="1"/>
        <v>Moderate use</v>
      </c>
    </row>
    <row r="27" spans="1:8" ht="24" customHeight="1" x14ac:dyDescent="0.35">
      <c r="A27" s="4" t="str">
        <f>'Raw Data'!A27</f>
        <v>Anvi Rao</v>
      </c>
      <c r="B27" s="9">
        <v>1</v>
      </c>
      <c r="C27" s="9">
        <v>0</v>
      </c>
      <c r="D27" s="9">
        <v>0</v>
      </c>
      <c r="E27" s="9">
        <v>0</v>
      </c>
      <c r="F27" s="9">
        <v>1</v>
      </c>
      <c r="G27" s="4">
        <f t="shared" si="0"/>
        <v>2</v>
      </c>
      <c r="H27" s="4" t="str">
        <f t="shared" si="1"/>
        <v>Moderate use</v>
      </c>
    </row>
    <row r="28" spans="1:8" ht="24" customHeight="1" x14ac:dyDescent="0.35">
      <c r="A28" s="2" t="str">
        <f>'Raw Data'!A28</f>
        <v>Dev Arora</v>
      </c>
      <c r="B28" s="8">
        <v>1</v>
      </c>
      <c r="C28" s="8">
        <v>1</v>
      </c>
      <c r="D28" s="8">
        <v>0</v>
      </c>
      <c r="E28" s="8">
        <v>0</v>
      </c>
      <c r="F28" s="8">
        <v>1</v>
      </c>
      <c r="G28" s="2">
        <f t="shared" si="0"/>
        <v>3</v>
      </c>
      <c r="H28" s="2" t="str">
        <f t="shared" si="1"/>
        <v>Moderate use</v>
      </c>
    </row>
    <row r="29" spans="1:8" ht="24" customHeight="1" x14ac:dyDescent="0.35">
      <c r="A29" s="4" t="str">
        <f>'Raw Data'!A29</f>
        <v>Meera Pillai</v>
      </c>
      <c r="B29" s="9">
        <v>1</v>
      </c>
      <c r="C29" s="9">
        <v>1</v>
      </c>
      <c r="D29" s="9">
        <v>0</v>
      </c>
      <c r="E29" s="9">
        <v>1</v>
      </c>
      <c r="F29" s="9">
        <v>0</v>
      </c>
      <c r="G29" s="4">
        <f t="shared" si="0"/>
        <v>3</v>
      </c>
      <c r="H29" s="4" t="str">
        <f t="shared" si="1"/>
        <v>Moderate use</v>
      </c>
    </row>
    <row r="30" spans="1:8" ht="24" customHeight="1" x14ac:dyDescent="0.35">
      <c r="A30" s="2" t="str">
        <f>'Raw Data'!A30</f>
        <v>Neil Fernandes</v>
      </c>
      <c r="B30" s="8">
        <v>1</v>
      </c>
      <c r="C30" s="8">
        <v>1</v>
      </c>
      <c r="D30" s="8">
        <v>1</v>
      </c>
      <c r="E30" s="8">
        <v>0</v>
      </c>
      <c r="F30" s="8">
        <v>1</v>
      </c>
      <c r="G30" s="2">
        <f t="shared" si="0"/>
        <v>4</v>
      </c>
      <c r="H30" s="2" t="str">
        <f t="shared" si="1"/>
        <v>Multi-product</v>
      </c>
    </row>
    <row r="31" spans="1:8" ht="24" customHeight="1" x14ac:dyDescent="0.35">
      <c r="A31" s="4" t="str">
        <f>'Raw Data'!A31</f>
        <v>Tara Kulkarni</v>
      </c>
      <c r="B31" s="9">
        <v>1</v>
      </c>
      <c r="C31" s="9">
        <v>0</v>
      </c>
      <c r="D31" s="9">
        <v>0</v>
      </c>
      <c r="E31" s="9">
        <v>1</v>
      </c>
      <c r="F31" s="9">
        <v>1</v>
      </c>
      <c r="G31" s="4">
        <f t="shared" si="0"/>
        <v>3</v>
      </c>
      <c r="H31" s="4" t="str">
        <f t="shared" si="1"/>
        <v>Moderate use</v>
      </c>
    </row>
    <row r="32" spans="1:8" ht="24" customHeight="1" x14ac:dyDescent="0.35">
      <c r="A32" s="2" t="str">
        <f>'Raw Data'!A32</f>
        <v>Rudra Bose</v>
      </c>
      <c r="B32" s="8">
        <v>0</v>
      </c>
      <c r="C32" s="8">
        <v>1</v>
      </c>
      <c r="D32" s="8">
        <v>0</v>
      </c>
      <c r="E32" s="8">
        <v>0</v>
      </c>
      <c r="F32" s="8">
        <v>0</v>
      </c>
      <c r="G32" s="2">
        <f t="shared" si="0"/>
        <v>1</v>
      </c>
      <c r="H32" s="2" t="str">
        <f t="shared" si="1"/>
        <v>Low use</v>
      </c>
    </row>
    <row r="33" spans="1:8" ht="24" customHeight="1" x14ac:dyDescent="0.35">
      <c r="A33" s="4" t="str">
        <f>'Raw Data'!A33</f>
        <v>Zoya Sheikh</v>
      </c>
      <c r="B33" s="9">
        <v>0</v>
      </c>
      <c r="C33" s="9">
        <v>0</v>
      </c>
      <c r="D33" s="9">
        <v>0</v>
      </c>
      <c r="E33" s="9">
        <v>0</v>
      </c>
      <c r="F33" s="9">
        <v>1</v>
      </c>
      <c r="G33" s="4">
        <f t="shared" si="0"/>
        <v>1</v>
      </c>
      <c r="H33" s="4" t="str">
        <f t="shared" si="1"/>
        <v>Low use</v>
      </c>
    </row>
    <row r="34" spans="1:8" ht="24" customHeight="1" x14ac:dyDescent="0.35">
      <c r="A34" s="2" t="str">
        <f>'Raw Data'!A34</f>
        <v>Kian Oberoi</v>
      </c>
      <c r="B34" s="8">
        <v>1</v>
      </c>
      <c r="C34" s="8">
        <v>0</v>
      </c>
      <c r="D34" s="8">
        <v>0</v>
      </c>
      <c r="E34" s="8">
        <v>0</v>
      </c>
      <c r="F34" s="8">
        <v>1</v>
      </c>
      <c r="G34" s="2">
        <f t="shared" ref="G34:G51" si="2">SUM(B34:F34)</f>
        <v>2</v>
      </c>
      <c r="H34" s="2" t="str">
        <f t="shared" ref="H34:H51" si="3">IF(G34&gt;=4,"Multi-product",IF(G34&gt;=2,"Moderate use","Low use"))</f>
        <v>Moderate use</v>
      </c>
    </row>
    <row r="35" spans="1:8" ht="24" customHeight="1" x14ac:dyDescent="0.35">
      <c r="A35" s="4" t="str">
        <f>'Raw Data'!A35</f>
        <v>Riya Menon</v>
      </c>
      <c r="B35" s="9">
        <v>1</v>
      </c>
      <c r="C35" s="9">
        <v>1</v>
      </c>
      <c r="D35" s="9">
        <v>1</v>
      </c>
      <c r="E35" s="9">
        <v>0</v>
      </c>
      <c r="F35" s="9">
        <v>1</v>
      </c>
      <c r="G35" s="4">
        <f t="shared" si="2"/>
        <v>4</v>
      </c>
      <c r="H35" s="4" t="str">
        <f t="shared" si="3"/>
        <v>Multi-product</v>
      </c>
    </row>
    <row r="36" spans="1:8" ht="24" customHeight="1" x14ac:dyDescent="0.35">
      <c r="A36" s="2" t="str">
        <f>'Raw Data'!A36</f>
        <v>Om Prakash</v>
      </c>
      <c r="B36" s="8">
        <v>1</v>
      </c>
      <c r="C36" s="8">
        <v>1</v>
      </c>
      <c r="D36" s="8">
        <v>1</v>
      </c>
      <c r="E36" s="8">
        <v>0</v>
      </c>
      <c r="F36" s="8">
        <v>0</v>
      </c>
      <c r="G36" s="2">
        <f t="shared" si="2"/>
        <v>3</v>
      </c>
      <c r="H36" s="2" t="str">
        <f t="shared" si="3"/>
        <v>Moderate use</v>
      </c>
    </row>
    <row r="37" spans="1:8" ht="24" customHeight="1" x14ac:dyDescent="0.35">
      <c r="A37" s="4" t="str">
        <f>'Raw Data'!A37</f>
        <v>Aisha Qureshi</v>
      </c>
      <c r="B37" s="9">
        <v>1</v>
      </c>
      <c r="C37" s="9">
        <v>0</v>
      </c>
      <c r="D37" s="9">
        <v>0</v>
      </c>
      <c r="E37" s="9">
        <v>0</v>
      </c>
      <c r="F37" s="9">
        <v>1</v>
      </c>
      <c r="G37" s="4">
        <f t="shared" si="2"/>
        <v>2</v>
      </c>
      <c r="H37" s="4" t="str">
        <f t="shared" si="3"/>
        <v>Moderate use</v>
      </c>
    </row>
    <row r="38" spans="1:8" ht="24" customHeight="1" x14ac:dyDescent="0.35">
      <c r="A38" s="2" t="str">
        <f>'Raw Data'!A38</f>
        <v>Manav Tripathi</v>
      </c>
      <c r="B38" s="8">
        <v>1</v>
      </c>
      <c r="C38" s="8">
        <v>1</v>
      </c>
      <c r="D38" s="8">
        <v>0</v>
      </c>
      <c r="E38" s="8">
        <v>0</v>
      </c>
      <c r="F38" s="8">
        <v>1</v>
      </c>
      <c r="G38" s="2">
        <f t="shared" si="2"/>
        <v>3</v>
      </c>
      <c r="H38" s="2" t="str">
        <f t="shared" si="3"/>
        <v>Moderate use</v>
      </c>
    </row>
    <row r="39" spans="1:8" ht="24" customHeight="1" x14ac:dyDescent="0.35">
      <c r="A39" s="4" t="str">
        <f>'Raw Data'!A39</f>
        <v>Lavanya Ghosh</v>
      </c>
      <c r="B39" s="9">
        <v>0</v>
      </c>
      <c r="C39" s="9">
        <v>1</v>
      </c>
      <c r="D39" s="9">
        <v>1</v>
      </c>
      <c r="E39" s="9">
        <v>0</v>
      </c>
      <c r="F39" s="9">
        <v>1</v>
      </c>
      <c r="G39" s="4">
        <f t="shared" si="2"/>
        <v>3</v>
      </c>
      <c r="H39" s="4" t="str">
        <f t="shared" si="3"/>
        <v>Moderate use</v>
      </c>
    </row>
    <row r="40" spans="1:8" ht="24" customHeight="1" x14ac:dyDescent="0.35">
      <c r="A40" s="2" t="str">
        <f>'Raw Data'!A40</f>
        <v>Shaurya Yadav</v>
      </c>
      <c r="B40" s="8">
        <v>0</v>
      </c>
      <c r="C40" s="8">
        <v>0</v>
      </c>
      <c r="D40" s="8">
        <v>0</v>
      </c>
      <c r="E40" s="8">
        <v>0</v>
      </c>
      <c r="F40" s="8">
        <v>1</v>
      </c>
      <c r="G40" s="2">
        <f t="shared" si="2"/>
        <v>1</v>
      </c>
      <c r="H40" s="2" t="str">
        <f t="shared" si="3"/>
        <v>Low use</v>
      </c>
    </row>
    <row r="41" spans="1:8" ht="24" customHeight="1" x14ac:dyDescent="0.35">
      <c r="A41" s="4" t="str">
        <f>'Raw Data'!A41</f>
        <v>Naina Roy</v>
      </c>
      <c r="B41" s="9">
        <v>0</v>
      </c>
      <c r="C41" s="9">
        <v>1</v>
      </c>
      <c r="D41" s="9">
        <v>1</v>
      </c>
      <c r="E41" s="9">
        <v>1</v>
      </c>
      <c r="F41" s="9">
        <v>1</v>
      </c>
      <c r="G41" s="4">
        <f t="shared" si="2"/>
        <v>4</v>
      </c>
      <c r="H41" s="4" t="str">
        <f t="shared" si="3"/>
        <v>Multi-product</v>
      </c>
    </row>
    <row r="42" spans="1:8" ht="24" customHeight="1" x14ac:dyDescent="0.35">
      <c r="A42" s="2" t="str">
        <f>'Raw Data'!A42</f>
        <v>Parth Bhatt</v>
      </c>
      <c r="B42" s="8">
        <v>1</v>
      </c>
      <c r="C42" s="8">
        <v>1</v>
      </c>
      <c r="D42" s="8">
        <v>0</v>
      </c>
      <c r="E42" s="8">
        <v>0</v>
      </c>
      <c r="F42" s="8">
        <v>1</v>
      </c>
      <c r="G42" s="2">
        <f t="shared" si="2"/>
        <v>3</v>
      </c>
      <c r="H42" s="2" t="str">
        <f t="shared" si="3"/>
        <v>Moderate use</v>
      </c>
    </row>
    <row r="43" spans="1:8" ht="24" customHeight="1" x14ac:dyDescent="0.35">
      <c r="A43" s="4" t="str">
        <f>'Raw Data'!A43</f>
        <v>Mira Thomas</v>
      </c>
      <c r="B43" s="9">
        <v>1</v>
      </c>
      <c r="C43" s="9">
        <v>1</v>
      </c>
      <c r="D43" s="9">
        <v>0</v>
      </c>
      <c r="E43" s="9">
        <v>0</v>
      </c>
      <c r="F43" s="9">
        <v>0</v>
      </c>
      <c r="G43" s="4">
        <f t="shared" si="2"/>
        <v>2</v>
      </c>
      <c r="H43" s="4" t="str">
        <f t="shared" si="3"/>
        <v>Moderate use</v>
      </c>
    </row>
    <row r="44" spans="1:8" ht="24" customHeight="1" x14ac:dyDescent="0.35">
      <c r="A44" s="2" t="str">
        <f>'Raw Data'!A44</f>
        <v>Samar Choudhary</v>
      </c>
      <c r="B44" s="8">
        <v>1</v>
      </c>
      <c r="C44" s="8">
        <v>1</v>
      </c>
      <c r="D44" s="8">
        <v>0</v>
      </c>
      <c r="E44" s="8">
        <v>1</v>
      </c>
      <c r="F44" s="8">
        <v>1</v>
      </c>
      <c r="G44" s="2">
        <f t="shared" si="2"/>
        <v>4</v>
      </c>
      <c r="H44" s="2" t="str">
        <f t="shared" si="3"/>
        <v>Multi-product</v>
      </c>
    </row>
    <row r="45" spans="1:8" ht="24" customHeight="1" x14ac:dyDescent="0.35">
      <c r="A45" s="4" t="str">
        <f>'Raw Data'!A45</f>
        <v>Ira Mukherjee</v>
      </c>
      <c r="B45" s="9">
        <v>0</v>
      </c>
      <c r="C45" s="9">
        <v>1</v>
      </c>
      <c r="D45" s="9">
        <v>1</v>
      </c>
      <c r="E45" s="9">
        <v>0</v>
      </c>
      <c r="F45" s="9">
        <v>1</v>
      </c>
      <c r="G45" s="4">
        <f t="shared" si="2"/>
        <v>3</v>
      </c>
      <c r="H45" s="4" t="str">
        <f t="shared" si="3"/>
        <v>Moderate use</v>
      </c>
    </row>
    <row r="46" spans="1:8" ht="24" customHeight="1" x14ac:dyDescent="0.35">
      <c r="A46" s="2" t="str">
        <f>'Raw Data'!A46</f>
        <v>Ayaan Gill</v>
      </c>
      <c r="B46" s="8">
        <v>1</v>
      </c>
      <c r="C46" s="8">
        <v>1</v>
      </c>
      <c r="D46" s="8">
        <v>0</v>
      </c>
      <c r="E46" s="8">
        <v>1</v>
      </c>
      <c r="F46" s="8">
        <v>1</v>
      </c>
      <c r="G46" s="2">
        <f t="shared" si="2"/>
        <v>4</v>
      </c>
      <c r="H46" s="2" t="str">
        <f t="shared" si="3"/>
        <v>Multi-product</v>
      </c>
    </row>
    <row r="47" spans="1:8" ht="24" customHeight="1" x14ac:dyDescent="0.35">
      <c r="A47" s="4" t="str">
        <f>'Raw Data'!A47</f>
        <v>Kavya Narang</v>
      </c>
      <c r="B47" s="9">
        <v>0</v>
      </c>
      <c r="C47" s="9">
        <v>0</v>
      </c>
      <c r="D47" s="9">
        <v>0</v>
      </c>
      <c r="E47" s="9">
        <v>0</v>
      </c>
      <c r="F47" s="9">
        <v>1</v>
      </c>
      <c r="G47" s="4">
        <f t="shared" si="2"/>
        <v>1</v>
      </c>
      <c r="H47" s="4" t="str">
        <f t="shared" si="3"/>
        <v>Low use</v>
      </c>
    </row>
    <row r="48" spans="1:8" ht="24" customHeight="1" x14ac:dyDescent="0.35">
      <c r="A48" s="2" t="str">
        <f>'Raw Data'!A48</f>
        <v>Vihaan Dutta</v>
      </c>
      <c r="B48" s="8">
        <v>1</v>
      </c>
      <c r="C48" s="8">
        <v>0</v>
      </c>
      <c r="D48" s="8">
        <v>0</v>
      </c>
      <c r="E48" s="8">
        <v>1</v>
      </c>
      <c r="F48" s="8">
        <v>1</v>
      </c>
      <c r="G48" s="2">
        <f t="shared" si="2"/>
        <v>3</v>
      </c>
      <c r="H48" s="2" t="str">
        <f t="shared" si="3"/>
        <v>Moderate use</v>
      </c>
    </row>
    <row r="49" spans="1:8" ht="24" customHeight="1" x14ac:dyDescent="0.35">
      <c r="A49" s="4" t="str">
        <f>'Raw Data'!A49</f>
        <v>Tanvi Puri</v>
      </c>
      <c r="B49" s="9">
        <v>1</v>
      </c>
      <c r="C49" s="9">
        <v>0</v>
      </c>
      <c r="D49" s="9">
        <v>0</v>
      </c>
      <c r="E49" s="9">
        <v>1</v>
      </c>
      <c r="F49" s="9">
        <v>1</v>
      </c>
      <c r="G49" s="4">
        <f t="shared" si="2"/>
        <v>3</v>
      </c>
      <c r="H49" s="4" t="str">
        <f t="shared" si="3"/>
        <v>Moderate use</v>
      </c>
    </row>
    <row r="50" spans="1:8" ht="24" customHeight="1" x14ac:dyDescent="0.35">
      <c r="A50" s="2" t="str">
        <f>'Raw Data'!A50</f>
        <v>Aryan Sethi</v>
      </c>
      <c r="B50" s="8">
        <v>1</v>
      </c>
      <c r="C50" s="8">
        <v>1</v>
      </c>
      <c r="D50" s="8">
        <v>1</v>
      </c>
      <c r="E50" s="8">
        <v>0</v>
      </c>
      <c r="F50" s="8">
        <v>1</v>
      </c>
      <c r="G50" s="2">
        <f t="shared" si="2"/>
        <v>4</v>
      </c>
      <c r="H50" s="2" t="str">
        <f t="shared" si="3"/>
        <v>Multi-product</v>
      </c>
    </row>
    <row r="51" spans="1:8" ht="24" customHeight="1" x14ac:dyDescent="0.35">
      <c r="A51" s="4" t="str">
        <f>'Raw Data'!A51</f>
        <v>Shreya Banerjee</v>
      </c>
      <c r="B51" s="9">
        <v>1</v>
      </c>
      <c r="C51" s="9">
        <v>1</v>
      </c>
      <c r="D51" s="9">
        <v>0</v>
      </c>
      <c r="E51" s="9">
        <v>1</v>
      </c>
      <c r="F51" s="9">
        <v>0</v>
      </c>
      <c r="G51" s="4">
        <f t="shared" si="2"/>
        <v>3</v>
      </c>
      <c r="H51" s="4" t="str">
        <f t="shared" si="3"/>
        <v>Moderate use</v>
      </c>
    </row>
  </sheetData>
  <autoFilter ref="A1:H51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showGridLines="0" workbookViewId="0">
      <pane ySplit="3" topLeftCell="A4" activePane="bottomLeft" state="frozen"/>
      <selection pane="bottomLeft" activeCell="H9" sqref="H9"/>
    </sheetView>
  </sheetViews>
  <sheetFormatPr defaultRowHeight="14.5" x14ac:dyDescent="0.35"/>
  <cols>
    <col min="1" max="1" width="24" customWidth="1"/>
    <col min="2" max="2" width="25" customWidth="1"/>
    <col min="3" max="6" width="20" customWidth="1"/>
  </cols>
  <sheetData>
    <row r="1" spans="1:6" ht="40" customHeight="1" x14ac:dyDescent="0.35">
      <c r="A1" s="20" t="s">
        <v>72</v>
      </c>
      <c r="B1" s="17"/>
      <c r="C1" s="17"/>
      <c r="D1" s="17"/>
      <c r="E1" s="17"/>
      <c r="F1" s="17"/>
    </row>
    <row r="2" spans="1:6" x14ac:dyDescent="0.35">
      <c r="A2" s="30" t="s">
        <v>73</v>
      </c>
      <c r="B2" s="17"/>
      <c r="C2" s="17"/>
      <c r="D2" s="17"/>
      <c r="E2" s="17"/>
      <c r="F2" s="17"/>
    </row>
    <row r="4" spans="1:6" ht="24" customHeight="1" x14ac:dyDescent="0.35">
      <c r="A4" s="25" t="s">
        <v>74</v>
      </c>
      <c r="B4" s="17"/>
      <c r="C4" s="17"/>
      <c r="D4" s="17"/>
      <c r="E4" s="17"/>
      <c r="F4" s="17"/>
    </row>
    <row r="5" spans="1:6" x14ac:dyDescent="0.35">
      <c r="A5" s="21" t="s">
        <v>100</v>
      </c>
      <c r="B5" s="17"/>
      <c r="C5" s="17"/>
      <c r="D5" s="17"/>
      <c r="E5" s="17"/>
      <c r="F5" s="17"/>
    </row>
    <row r="6" spans="1:6" x14ac:dyDescent="0.35">
      <c r="A6" s="17"/>
      <c r="B6" s="17"/>
      <c r="C6" s="17"/>
      <c r="D6" s="17"/>
      <c r="E6" s="17"/>
      <c r="F6" s="17"/>
    </row>
    <row r="8" spans="1:6" ht="24" customHeight="1" x14ac:dyDescent="0.35">
      <c r="A8" s="25" t="s">
        <v>75</v>
      </c>
      <c r="B8" s="17"/>
      <c r="C8" s="17"/>
      <c r="D8" s="17"/>
      <c r="E8" s="17"/>
      <c r="F8" s="17"/>
    </row>
    <row r="9" spans="1:6" ht="26" customHeight="1" x14ac:dyDescent="0.35">
      <c r="A9" s="24" t="s">
        <v>76</v>
      </c>
      <c r="B9" s="17"/>
      <c r="C9" s="17"/>
      <c r="D9" s="16">
        <f>COUNTA('Raw Data'!A2:A51)</f>
        <v>50</v>
      </c>
      <c r="E9" s="17"/>
      <c r="F9" s="17"/>
    </row>
    <row r="10" spans="1:6" ht="26" customHeight="1" x14ac:dyDescent="0.35">
      <c r="A10" s="24" t="s">
        <v>77</v>
      </c>
      <c r="B10" s="17"/>
      <c r="C10" s="17"/>
      <c r="D10" s="27">
        <f>AVERAGE('Raw Data'!B2:B51)</f>
        <v>675.5</v>
      </c>
      <c r="E10" s="17"/>
      <c r="F10" s="17"/>
    </row>
    <row r="11" spans="1:6" ht="26" customHeight="1" x14ac:dyDescent="0.35">
      <c r="A11" s="24" t="s">
        <v>78</v>
      </c>
      <c r="B11" s="17"/>
      <c r="C11" s="17"/>
      <c r="D11" s="31">
        <f>AVERAGE('Raw Data'!F2:F51)</f>
        <v>1273400</v>
      </c>
      <c r="E11" s="17"/>
      <c r="F11" s="17"/>
    </row>
    <row r="12" spans="1:6" ht="26" customHeight="1" x14ac:dyDescent="0.35">
      <c r="A12" s="24" t="s">
        <v>79</v>
      </c>
      <c r="B12" s="17"/>
      <c r="C12" s="17"/>
      <c r="D12" s="27">
        <f>AVERAGE('Raw Data'!E2:E51)</f>
        <v>10.14</v>
      </c>
      <c r="E12" s="17"/>
      <c r="F12" s="17"/>
    </row>
    <row r="13" spans="1:6" ht="26" customHeight="1" x14ac:dyDescent="0.35">
      <c r="A13" s="24" t="s">
        <v>80</v>
      </c>
      <c r="B13" s="17"/>
      <c r="C13" s="17"/>
      <c r="D13" s="16">
        <f>COUNTIF('Engagement Classification'!E2:E51,"High")</f>
        <v>14</v>
      </c>
      <c r="E13" s="17"/>
      <c r="F13" s="17"/>
    </row>
    <row r="14" spans="1:6" ht="26" customHeight="1" x14ac:dyDescent="0.35">
      <c r="A14" s="24" t="s">
        <v>81</v>
      </c>
      <c r="B14" s="17"/>
      <c r="C14" s="17"/>
      <c r="D14" s="16">
        <f>COUNTIF('Engagement Classification'!E2:E51,"Needs Attention")</f>
        <v>16</v>
      </c>
      <c r="E14" s="17"/>
      <c r="F14" s="17"/>
    </row>
    <row r="15" spans="1:6" ht="26" customHeight="1" x14ac:dyDescent="0.35">
      <c r="A15" s="24" t="s">
        <v>82</v>
      </c>
      <c r="B15" s="17"/>
      <c r="C15" s="17"/>
      <c r="D15" s="27">
        <f>AVERAGE('Product Utilization'!G2:G51)</f>
        <v>2.74</v>
      </c>
      <c r="E15" s="17"/>
      <c r="F15" s="17"/>
    </row>
    <row r="16" spans="1:6" ht="26" customHeight="1" x14ac:dyDescent="0.35">
      <c r="A16" s="24" t="s">
        <v>83</v>
      </c>
      <c r="B16" s="17"/>
      <c r="C16" s="17"/>
      <c r="D16" s="18">
        <f>AVERAGE('Product Utilization'!F2:F51)</f>
        <v>0.84</v>
      </c>
      <c r="E16" s="17"/>
      <c r="F16" s="17"/>
    </row>
    <row r="19" spans="1:6" ht="24" customHeight="1" x14ac:dyDescent="0.35">
      <c r="A19" s="25" t="s">
        <v>84</v>
      </c>
      <c r="B19" s="17"/>
      <c r="C19" s="17"/>
      <c r="D19" s="17"/>
      <c r="E19" s="17"/>
      <c r="F19" s="17"/>
    </row>
    <row r="20" spans="1:6" ht="38" customHeight="1" x14ac:dyDescent="0.35">
      <c r="A20" s="10" t="s">
        <v>85</v>
      </c>
      <c r="B20" s="11" t="s">
        <v>86</v>
      </c>
      <c r="C20" s="28" t="s">
        <v>87</v>
      </c>
      <c r="D20" s="29"/>
      <c r="E20" s="29"/>
      <c r="F20" s="29"/>
    </row>
    <row r="21" spans="1:6" ht="38" customHeight="1" x14ac:dyDescent="0.35">
      <c r="A21" s="12" t="s">
        <v>85</v>
      </c>
      <c r="B21" s="13" t="s">
        <v>88</v>
      </c>
      <c r="C21" s="22" t="s">
        <v>89</v>
      </c>
      <c r="D21" s="23"/>
      <c r="E21" s="23"/>
      <c r="F21" s="23"/>
    </row>
    <row r="22" spans="1:6" ht="38" customHeight="1" x14ac:dyDescent="0.35">
      <c r="A22" s="10" t="s">
        <v>85</v>
      </c>
      <c r="B22" s="11" t="s">
        <v>90</v>
      </c>
      <c r="C22" s="28" t="s">
        <v>91</v>
      </c>
      <c r="D22" s="29"/>
      <c r="E22" s="29"/>
      <c r="F22" s="29"/>
    </row>
    <row r="23" spans="1:6" ht="38" customHeight="1" x14ac:dyDescent="0.35">
      <c r="A23" s="12" t="s">
        <v>85</v>
      </c>
      <c r="B23" s="13" t="s">
        <v>92</v>
      </c>
      <c r="C23" s="22" t="s">
        <v>93</v>
      </c>
      <c r="D23" s="23"/>
      <c r="E23" s="23"/>
      <c r="F23" s="23"/>
    </row>
    <row r="25" spans="1:6" ht="24" customHeight="1" x14ac:dyDescent="0.35">
      <c r="A25" s="25" t="s">
        <v>94</v>
      </c>
      <c r="B25" s="17"/>
      <c r="C25" s="17"/>
      <c r="D25" s="17"/>
      <c r="E25" s="17"/>
      <c r="F25" s="17"/>
    </row>
    <row r="26" spans="1:6" ht="30" customHeight="1" x14ac:dyDescent="0.35">
      <c r="A26" s="28" t="s">
        <v>95</v>
      </c>
      <c r="B26" s="17"/>
      <c r="C26" s="17"/>
      <c r="D26" s="17"/>
      <c r="E26" s="17"/>
      <c r="F26" s="17"/>
    </row>
    <row r="27" spans="1:6" ht="30" customHeight="1" x14ac:dyDescent="0.35">
      <c r="A27" s="28" t="s">
        <v>96</v>
      </c>
      <c r="B27" s="17"/>
      <c r="C27" s="17"/>
      <c r="D27" s="17"/>
      <c r="E27" s="17"/>
      <c r="F27" s="17"/>
    </row>
    <row r="28" spans="1:6" ht="30" customHeight="1" x14ac:dyDescent="0.35">
      <c r="A28" s="28" t="s">
        <v>97</v>
      </c>
      <c r="B28" s="17"/>
      <c r="C28" s="17"/>
      <c r="D28" s="17"/>
      <c r="E28" s="17"/>
      <c r="F28" s="17"/>
    </row>
    <row r="29" spans="1:6" ht="30" customHeight="1" x14ac:dyDescent="0.35">
      <c r="A29" s="28" t="s">
        <v>98</v>
      </c>
      <c r="B29" s="17"/>
      <c r="C29" s="17"/>
      <c r="D29" s="17"/>
      <c r="E29" s="17"/>
      <c r="F29" s="17"/>
    </row>
    <row r="31" spans="1:6" ht="24" customHeight="1" x14ac:dyDescent="0.35">
      <c r="A31" s="26"/>
      <c r="B31" s="17"/>
      <c r="C31" s="17"/>
      <c r="D31" s="17"/>
      <c r="E31" s="17"/>
      <c r="F31" s="17"/>
    </row>
    <row r="32" spans="1:6" x14ac:dyDescent="0.35">
      <c r="A32" s="19"/>
      <c r="B32" s="17"/>
      <c r="C32" s="17"/>
      <c r="D32" s="17"/>
      <c r="E32" s="17"/>
      <c r="F32" s="17"/>
    </row>
    <row r="33" spans="1:6" x14ac:dyDescent="0.35">
      <c r="A33" s="17"/>
      <c r="B33" s="17"/>
      <c r="C33" s="17"/>
      <c r="D33" s="17"/>
      <c r="E33" s="17"/>
      <c r="F33" s="17"/>
    </row>
  </sheetData>
  <mergeCells count="33">
    <mergeCell ref="A2:F2"/>
    <mergeCell ref="A14:C14"/>
    <mergeCell ref="A8:F8"/>
    <mergeCell ref="D12:F12"/>
    <mergeCell ref="D9:F9"/>
    <mergeCell ref="A4:F4"/>
    <mergeCell ref="D11:F11"/>
    <mergeCell ref="D13:F13"/>
    <mergeCell ref="A12:C12"/>
    <mergeCell ref="A13:C13"/>
    <mergeCell ref="D15:F15"/>
    <mergeCell ref="A28:F28"/>
    <mergeCell ref="A19:F19"/>
    <mergeCell ref="C20:F20"/>
    <mergeCell ref="C23:F23"/>
    <mergeCell ref="A27:F27"/>
    <mergeCell ref="A26:F26"/>
    <mergeCell ref="D14:F14"/>
    <mergeCell ref="D16:F16"/>
    <mergeCell ref="A32:F33"/>
    <mergeCell ref="A1:F1"/>
    <mergeCell ref="A5:F6"/>
    <mergeCell ref="C21:F21"/>
    <mergeCell ref="A16:C16"/>
    <mergeCell ref="A25:F25"/>
    <mergeCell ref="A31:F31"/>
    <mergeCell ref="A9:C9"/>
    <mergeCell ref="A15:C15"/>
    <mergeCell ref="D10:F10"/>
    <mergeCell ref="C22:F22"/>
    <mergeCell ref="A11:C11"/>
    <mergeCell ref="A29:F29"/>
    <mergeCell ref="A10:C10"/>
  </mergeCells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Engagement Classification</vt:lpstr>
      <vt:lpstr>Product Utilization</vt:lpstr>
      <vt:lpstr>KPI Dashboard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2026-10-09T15:21:43Z</dcterms:created>
  <dcterms:modified xsi:type="dcterms:W3CDTF">2026-10-16T07:21:11Z</dcterms:modified>
</cp:coreProperties>
</file>